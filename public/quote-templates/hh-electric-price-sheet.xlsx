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cesgbltd.sharepoint.com/sites/CESData/Shared Documents/Admin Broker Shared/Templates - (Price Sheets_LOA_Site lists_Budgets_Letters_Tenders)/Price Sheets/Half Hourly Pricesheet/"/>
    </mc:Choice>
  </mc:AlternateContent>
  <xr:revisionPtr revIDLastSave="605" documentId="8_{819094D8-F981-4231-890A-8960734540C6}" xr6:coauthVersionLast="47" xr6:coauthVersionMax="47" xr10:uidLastSave="{8625901F-2221-4868-A7D1-CF7272EA8CB2}"/>
  <bookViews>
    <workbookView xWindow="25080" yWindow="-150" windowWidth="25440" windowHeight="15270" xr2:uid="{00000000-000D-0000-FFFF-FFFF00000000}"/>
  </bookViews>
  <sheets>
    <sheet name="2200030035659 " sheetId="2" r:id="rId1"/>
  </sheets>
  <definedNames>
    <definedName name="_xlnm._FilterDatabase" localSheetId="0" hidden="1">'2200030035659 '!$B$15:$V$15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2" l="1"/>
  <c r="K21" i="2" l="1"/>
  <c r="K22" i="2"/>
  <c r="K23" i="2"/>
  <c r="K31" i="2"/>
  <c r="K32" i="2"/>
  <c r="K33" i="2"/>
  <c r="K34" i="2"/>
  <c r="K35" i="2"/>
  <c r="K36" i="2"/>
  <c r="K37" i="2"/>
  <c r="K38" i="2"/>
  <c r="K40" i="2" l="1"/>
  <c r="K39" i="2"/>
  <c r="K29" i="2"/>
  <c r="K28" i="2"/>
  <c r="K27" i="2"/>
  <c r="K26" i="2"/>
  <c r="K25" i="2"/>
  <c r="K24" i="2"/>
  <c r="K20" i="2"/>
  <c r="K19" i="2"/>
  <c r="K18" i="2"/>
  <c r="K17" i="2"/>
  <c r="K16" i="2"/>
  <c r="K15" i="2"/>
  <c r="L30" i="2" s="1"/>
  <c r="L21" i="2" l="1"/>
  <c r="L23" i="2"/>
  <c r="L22" i="2"/>
  <c r="L36" i="2"/>
  <c r="L35" i="2"/>
  <c r="L34" i="2"/>
  <c r="L32" i="2"/>
  <c r="L38" i="2"/>
  <c r="L33" i="2"/>
  <c r="L37" i="2"/>
  <c r="L31" i="2"/>
  <c r="L24" i="2"/>
  <c r="L25" i="2"/>
  <c r="L39" i="2"/>
  <c r="L26" i="2"/>
  <c r="L29" i="2"/>
  <c r="L16" i="2"/>
  <c r="L27" i="2"/>
  <c r="L17" i="2"/>
  <c r="L28" i="2"/>
  <c r="L18" i="2"/>
  <c r="L19" i="2"/>
  <c r="L20" i="2"/>
  <c r="L40" i="2"/>
</calcChain>
</file>

<file path=xl/sharedStrings.xml><?xml version="1.0" encoding="utf-8"?>
<sst xmlns="http://schemas.openxmlformats.org/spreadsheetml/2006/main" count="51" uniqueCount="26">
  <si>
    <t>Electricity Price Analysis</t>
  </si>
  <si>
    <t>Day</t>
  </si>
  <si>
    <t>Night</t>
  </si>
  <si>
    <t>Capacity</t>
  </si>
  <si>
    <t>Consumption Figures</t>
  </si>
  <si>
    <t>Supplier</t>
  </si>
  <si>
    <t xml:space="preserve">Standing Charge p/day </t>
  </si>
  <si>
    <t>Capacity charge p/kva/month</t>
  </si>
  <si>
    <t>Day Units pkWh</t>
  </si>
  <si>
    <t>Night Units pkWh</t>
  </si>
  <si>
    <t>Feed In Tariff / Pass Through Charges</t>
  </si>
  <si>
    <t>Climate Charge Levy p/kWh</t>
  </si>
  <si>
    <t xml:space="preserve">Contract Period Months </t>
  </si>
  <si>
    <t>Payment Method</t>
  </si>
  <si>
    <t>Approx. Annual Expenditure</t>
  </si>
  <si>
    <t>Difference</t>
  </si>
  <si>
    <t>DD</t>
  </si>
  <si>
    <t>n/a</t>
  </si>
  <si>
    <t>Consumption figures are based on Half Hourly data (electricity) or Gas Industry database. It is important for you to advise CES or supplier if you expect the forecasted usage to increase or decrease by more than 10% as some suppliers may trigger volume tolerance clause and pass retrospective charges to customers in case of over or under consumption during any 12 months of consumption.</t>
  </si>
  <si>
    <t>PLEASE NOTE</t>
  </si>
  <si>
    <t xml:space="preserve">SSD: </t>
  </si>
  <si>
    <t>MPAN:</t>
  </si>
  <si>
    <t xml:space="preserve">Date: </t>
  </si>
  <si>
    <t>Site:</t>
  </si>
  <si>
    <t>Business Name:</t>
  </si>
  <si>
    <t xml:space="preserve">Energy prices must be confirmed at quote acceptance stage due to market fluctuations. We work with most but not all energy suppliers so we cannot guarantee to cover the entire market.  The prices shown are exclusive of VAT, Climate Charge Levy and Nuclear RAB Levy and are subject to supplier’s terms and conditions of supply which include clauses allowing suppliers to pass through Ofgem controlled 3rd party charges in exceptional circumstances’. Prices quoted include commission for CES as detailed on the final page of this document. The prices quoted include p/kwh commission, an estimated annual value of £ commission for Commercial Energy Solutions Ltd (CES). Where a multi year contract is selected, total commission will be the estimated annual value multiplied by the number of contracted years. Services included: Contract renewal management, First bill and meter read validation, Utility Portal, Billing query management, Meter fault repair co-ordination, Reduced V.A.T declaration, Change of Tenancy, Capacity (kVa) assessment and Expenditure / Carbon (CO2e) reporting. CES is not a party to contract between you and the particular supplier and nor will we have any liability thereof.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</si>
</sst>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4" formatCode="&quot;£&quot;#,##0"/>
    <numFmt numFmtId="165" formatCode="0.000"/>
    <numFmt numFmtId="166" formatCode="0.0000"/>
  </numFmts>
  <fonts count="20" x14ac:knownFonts="1">
    <font>
      <sz val="10"/>
      <name val="Arial"/>
    </font>
    <font>
      <sz val="10"/>
      <name val="Arial"/>
      <family val="2"/>
    </font>
    <font>
      <sz val="8"/>
      <name val="Arial"/>
      <family val="2"/>
    </font>
    <font>
      <u/>
      <sz val="10"/>
      <color indexed="12"/>
      <name val="Arial"/>
      <family val="2"/>
    </font>
    <font>
      <sz val="12"/>
      <name val="Arial"/>
      <family val="2"/>
    </font>
    <font>
      <b/>
      <sz val="9"/>
      <color theme="3"/>
      <name val="Arial"/>
      <family val="2"/>
    </font>
    <font>
      <b/>
      <sz val="8"/>
      <color theme="3"/>
      <name val="Arial"/>
      <family val="2"/>
    </font>
    <font>
      <b/>
      <sz val="12"/>
      <color rgb="FF92D050"/>
      <name val="Arial"/>
      <family val="2"/>
    </font>
    <font>
      <b/>
      <sz val="10"/>
      <color rgb="FF1749B9"/>
      <name val="Arial"/>
      <family val="2"/>
    </font>
    <font>
      <sz val="9"/>
      <name val="Calibri"/>
      <family val="2"/>
      <scheme val="minor"/>
    </font>
    <font>
      <b/>
      <sz val="10"/>
      <name val="Calibri"/>
      <family val="2"/>
      <scheme val="minor"/>
    </font>
    <font>
      <sz val="12"/>
      <name val="Calibri"/>
      <family val="2"/>
      <scheme val="minor"/>
    </font>
    <font>
      <sz val="14"/>
      <name val="Calibri"/>
      <family val="2"/>
      <scheme val="minor"/>
    </font>
    <font>
      <sz val="14"/>
      <color rgb="FFFF0000"/>
      <name val="Calibri"/>
      <family val="2"/>
      <scheme val="minor"/>
    </font>
    <font>
      <sz val="10"/>
      <name val="Calibri"/>
      <family val="2"/>
      <scheme val="minor"/>
    </font>
    <font>
      <b/>
      <sz val="8"/>
      <name val="Calibri"/>
      <family val="2"/>
      <scheme val="minor"/>
    </font>
    <font>
      <sz val="8"/>
      <name val="Calibri"/>
      <family val="2"/>
      <scheme val="minor"/>
    </font>
    <font>
      <b/>
      <sz val="9"/>
      <color rgb="FF1F497D"/>
      <name val="Calibri"/>
      <family val="2"/>
    </font>
    <font>
      <sz val="10"/>
      <color indexed="10"/>
      <name val="Calibri"/>
      <family val="2"/>
      <scheme val="minor"/>
    </font>
    <font>
      <b/>
      <sz val="16"/>
      <color theme="6" tint="-0.49998474074526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thin">
        <color indexed="64"/>
      </left>
      <right style="medium">
        <color indexed="64"/>
      </right>
      <top/>
      <bottom style="medium">
        <color indexed="64"/>
      </bottom>
      <diagonal/>
    </border>
    <border>
      <left style="thin">
        <color indexed="64"/>
      </left>
      <right style="thin">
        <color indexed="64"/>
      </right>
      <top style="medium">
        <color theme="1"/>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74">
    <xf numFmtId="0" fontId="0" fillId="0" borderId="0" xfId="0"/>
    <xf numFmtId="0" fontId="2" fillId="0" borderId="0" xfId="0" applyFont="1"/>
    <xf numFmtId="49" fontId="3" fillId="0" borderId="0" xfId="2" applyNumberFormat="1" applyAlignment="1" applyProtection="1"/>
    <xf numFmtId="0" fontId="4" fillId="0" borderId="0" xfId="0" applyFont="1"/>
    <xf numFmtId="0" fontId="5" fillId="0" borderId="0" xfId="0" applyFont="1" applyAlignment="1">
      <alignment wrapText="1"/>
    </xf>
    <xf numFmtId="0" fontId="5" fillId="0" borderId="0" xfId="0" applyFont="1"/>
    <xf numFmtId="0" fontId="6" fillId="0" borderId="0" xfId="0" applyFont="1" applyAlignment="1">
      <alignment wrapText="1"/>
    </xf>
    <xf numFmtId="0" fontId="6" fillId="0" borderId="0" xfId="0" applyFont="1" applyAlignment="1">
      <alignment horizontal="center" wrapText="1"/>
    </xf>
    <xf numFmtId="0" fontId="6" fillId="0" borderId="0" xfId="0" applyFont="1" applyAlignment="1">
      <alignment vertical="center" wrapText="1"/>
    </xf>
    <xf numFmtId="0" fontId="7" fillId="0" borderId="0" xfId="0" applyFont="1" applyAlignment="1">
      <alignment vertical="center"/>
    </xf>
    <xf numFmtId="0" fontId="2" fillId="0" borderId="0" xfId="0" applyFont="1" applyAlignment="1">
      <alignment vertical="center" wrapText="1"/>
    </xf>
    <xf numFmtId="0" fontId="8" fillId="0" borderId="0" xfId="0" applyFont="1" applyAlignment="1">
      <alignment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xf>
    <xf numFmtId="164" fontId="12" fillId="2" borderId="0" xfId="1" applyNumberFormat="1" applyFont="1" applyFill="1" applyBorder="1" applyAlignment="1">
      <alignment horizontal="center"/>
    </xf>
    <xf numFmtId="164" fontId="13" fillId="2" borderId="0" xfId="0" applyNumberFormat="1" applyFont="1" applyFill="1" applyAlignment="1">
      <alignment horizontal="center"/>
    </xf>
    <xf numFmtId="165" fontId="11" fillId="2" borderId="0" xfId="0" applyNumberFormat="1" applyFont="1" applyFill="1" applyAlignment="1">
      <alignment horizontal="center" vertical="center"/>
    </xf>
    <xf numFmtId="0" fontId="11" fillId="2" borderId="0" xfId="0" applyFont="1" applyFill="1" applyAlignment="1">
      <alignment horizontal="center" vertical="center"/>
    </xf>
    <xf numFmtId="164" fontId="12" fillId="2" borderId="0" xfId="1" applyNumberFormat="1" applyFont="1" applyFill="1" applyBorder="1" applyAlignment="1">
      <alignment horizontal="center" vertical="center"/>
    </xf>
    <xf numFmtId="164" fontId="13" fillId="2" borderId="0" xfId="0" applyNumberFormat="1" applyFont="1" applyFill="1" applyAlignment="1">
      <alignment horizontal="center" vertical="center"/>
    </xf>
    <xf numFmtId="0" fontId="14" fillId="0" borderId="0" xfId="0" applyFont="1" applyAlignment="1">
      <alignment horizontal="left"/>
    </xf>
    <xf numFmtId="0" fontId="14" fillId="0" borderId="0" xfId="0" applyFont="1"/>
    <xf numFmtId="3" fontId="14" fillId="0" borderId="0" xfId="0" applyNumberFormat="1" applyFont="1"/>
    <xf numFmtId="1" fontId="14" fillId="0" borderId="0" xfId="0" applyNumberFormat="1" applyFont="1" applyAlignment="1">
      <alignment vertical="center"/>
    </xf>
    <xf numFmtId="2" fontId="14" fillId="0" borderId="0" xfId="0" applyNumberFormat="1" applyFont="1" applyAlignment="1">
      <alignment horizontal="right"/>
    </xf>
    <xf numFmtId="2" fontId="11" fillId="0" borderId="0" xfId="0" applyNumberFormat="1" applyFont="1" applyAlignment="1">
      <alignment horizontal="center" vertical="center"/>
    </xf>
    <xf numFmtId="165" fontId="11" fillId="0" borderId="0" xfId="0" applyNumberFormat="1" applyFont="1" applyAlignment="1">
      <alignment horizontal="center" vertical="center"/>
    </xf>
    <xf numFmtId="0" fontId="16" fillId="0" borderId="0" xfId="0" applyFont="1"/>
    <xf numFmtId="165" fontId="16" fillId="0" borderId="0" xfId="0" applyNumberFormat="1" applyFont="1"/>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5" xfId="0" applyFont="1" applyBorder="1" applyAlignment="1">
      <alignment horizontal="center" vertical="center"/>
    </xf>
    <xf numFmtId="3" fontId="14" fillId="0" borderId="16" xfId="0" applyNumberFormat="1" applyFont="1" applyBorder="1" applyAlignment="1">
      <alignment horizontal="center"/>
    </xf>
    <xf numFmtId="3" fontId="14" fillId="0" borderId="17" xfId="0" applyNumberFormat="1" applyFont="1" applyBorder="1" applyAlignment="1">
      <alignment horizontal="center"/>
    </xf>
    <xf numFmtId="0" fontId="18" fillId="0" borderId="18" xfId="0" applyFont="1" applyBorder="1" applyAlignment="1">
      <alignment horizontal="center"/>
    </xf>
    <xf numFmtId="166" fontId="11" fillId="0" borderId="19" xfId="0" applyNumberFormat="1" applyFont="1" applyBorder="1" applyAlignment="1">
      <alignment horizontal="center" vertical="center"/>
    </xf>
    <xf numFmtId="165"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xf>
    <xf numFmtId="164" fontId="12" fillId="2" borderId="19" xfId="1" applyNumberFormat="1" applyFont="1" applyFill="1" applyBorder="1" applyAlignment="1">
      <alignment horizontal="center" vertical="center"/>
    </xf>
    <xf numFmtId="164" fontId="13" fillId="2" borderId="21" xfId="0" applyNumberFormat="1" applyFont="1" applyFill="1" applyBorder="1" applyAlignment="1">
      <alignment horizontal="center" vertical="center"/>
    </xf>
    <xf numFmtId="1" fontId="0" fillId="0" borderId="0" xfId="0" applyNumberFormat="1"/>
    <xf numFmtId="1" fontId="14" fillId="0" borderId="0" xfId="0" applyNumberFormat="1" applyFont="1"/>
    <xf numFmtId="1" fontId="11" fillId="3" borderId="20" xfId="0" applyNumberFormat="1" applyFont="1" applyFill="1" applyBorder="1" applyAlignment="1">
      <alignment vertical="center"/>
    </xf>
    <xf numFmtId="1" fontId="11" fillId="2" borderId="0" xfId="0" applyNumberFormat="1" applyFont="1" applyFill="1" applyAlignment="1">
      <alignment vertical="center"/>
    </xf>
    <xf numFmtId="1" fontId="15" fillId="0" borderId="0" xfId="0" applyNumberFormat="1" applyFont="1"/>
    <xf numFmtId="1" fontId="2" fillId="0" borderId="0" xfId="0" applyNumberFormat="1" applyFont="1" applyAlignment="1">
      <alignment vertical="center" wrapText="1"/>
    </xf>
    <xf numFmtId="1" fontId="4" fillId="0" borderId="0" xfId="0" applyNumberFormat="1" applyFont="1"/>
    <xf numFmtId="1" fontId="11" fillId="3" borderId="22" xfId="0" applyNumberFormat="1" applyFont="1" applyFill="1" applyBorder="1" applyAlignment="1">
      <alignment vertical="center"/>
    </xf>
    <xf numFmtId="0" fontId="11" fillId="2" borderId="23" xfId="0" applyFont="1" applyFill="1" applyBorder="1" applyAlignment="1">
      <alignment horizontal="center" vertical="center"/>
    </xf>
    <xf numFmtId="164" fontId="12" fillId="2" borderId="23" xfId="1" applyNumberFormat="1" applyFont="1" applyFill="1" applyBorder="1" applyAlignment="1">
      <alignment horizontal="center" vertical="center"/>
    </xf>
    <xf numFmtId="164" fontId="13" fillId="2" borderId="24" xfId="0" applyNumberFormat="1" applyFont="1" applyFill="1" applyBorder="1" applyAlignment="1">
      <alignment horizontal="center" vertical="center"/>
    </xf>
    <xf numFmtId="1" fontId="14" fillId="3" borderId="25" xfId="0" applyNumberFormat="1"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7" fillId="0" borderId="12" xfId="0" applyFont="1" applyBorder="1" applyAlignment="1">
      <alignment horizontal="center" wrapText="1"/>
    </xf>
    <xf numFmtId="0" fontId="17" fillId="0" borderId="13" xfId="0" applyFont="1" applyBorder="1" applyAlignment="1">
      <alignment horizontal="center" wrapText="1"/>
    </xf>
    <xf numFmtId="0" fontId="17" fillId="0" borderId="14" xfId="0" applyFont="1" applyBorder="1" applyAlignment="1">
      <alignment horizont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5" fillId="0" borderId="0" xfId="0" applyFont="1" applyAlignment="1">
      <alignment horizontal="left" wrapText="1"/>
    </xf>
    <xf numFmtId="0" fontId="5" fillId="0" borderId="0" xfId="0" applyFont="1" applyAlignment="1">
      <alignment horizontal="left"/>
    </xf>
    <xf numFmtId="0" fontId="8" fillId="0" borderId="0" xfId="0" applyFont="1" applyAlignment="1">
      <alignment horizontal="center" vertical="center" wrapText="1"/>
    </xf>
    <xf numFmtId="0" fontId="2" fillId="0" borderId="0" xfId="0" applyFont="1" applyAlignment="1">
      <alignment horizontal="left"/>
    </xf>
    <xf numFmtId="0" fontId="14" fillId="0" borderId="0" xfId="0" applyFont="1" applyAlignment="1">
      <alignment horizontal="left" vertical="center" wrapText="1"/>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9" fillId="3" borderId="9" xfId="0" applyFont="1" applyFill="1" applyBorder="1" applyAlignment="1">
      <alignment horizontal="center" vertical="center"/>
    </xf>
    <xf numFmtId="14" fontId="14" fillId="0" borderId="0" xfId="0" applyNumberFormat="1" applyFont="1" applyAlignment="1">
      <alignment horizontal="left" vertical="center"/>
    </xf>
    <xf numFmtId="0" fontId="7" fillId="0" borderId="0" xfId="0" applyFont="1" applyAlignment="1">
      <alignment horizontal="center" vertical="center"/>
    </xf>
  </cellXfs>
  <cellStyles count="3">
    <cellStyle name="Currency" xfId="1" builtinId="4"/>
    <cellStyle name="Hyperlink" xfId="2" builtinId="8"/>
    <cellStyle name="Normal" xfId="0" builtinId="0"/>
  </cellStyles>
  <dxfs count="0"/>
  <tableStyles count="1" defaultTableStyle="TableStyleMedium9" defaultPivotStyle="PivotStyleLight16">
    <tableStyle name="Invisible" pivot="0" table="0" count="0" xr9:uid="{D32B1072-61DA-4072-BB19-70F0D2F98626}"/>
  </tableStyles>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19050</xdr:rowOff>
    </xdr:from>
    <xdr:to>
      <xdr:col>12</xdr:col>
      <xdr:colOff>9525</xdr:colOff>
      <xdr:row>7</xdr:row>
      <xdr:rowOff>116520</xdr:rowOff>
    </xdr:to>
    <xdr:grpSp>
      <xdr:nvGrpSpPr>
        <xdr:cNvPr id="2" name="Group 1">
          <a:extLst>
            <a:ext uri="{FF2B5EF4-FFF2-40B4-BE49-F238E27FC236}">
              <a16:creationId xmlns:a16="http://schemas.microsoft.com/office/drawing/2014/main" id="{040FDCFE-1BEB-45F7-8641-79285F597D2A}"/>
            </a:ext>
          </a:extLst>
        </xdr:cNvPr>
        <xdr:cNvGrpSpPr/>
      </xdr:nvGrpSpPr>
      <xdr:grpSpPr>
        <a:xfrm>
          <a:off x="142875" y="19050"/>
          <a:ext cx="9601200" cy="1402395"/>
          <a:chOff x="142875" y="19050"/>
          <a:chExt cx="9725025" cy="1402395"/>
        </a:xfrm>
      </xdr:grpSpPr>
      <xdr:pic>
        <xdr:nvPicPr>
          <xdr:cNvPr id="3" name="Picture 2">
            <a:extLst>
              <a:ext uri="{FF2B5EF4-FFF2-40B4-BE49-F238E27FC236}">
                <a16:creationId xmlns:a16="http://schemas.microsoft.com/office/drawing/2014/main" id="{DECB3CA1-51B3-FD66-5C28-53D0A80EC3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664" r="409" b="52365"/>
          <a:stretch/>
        </xdr:blipFill>
        <xdr:spPr>
          <a:xfrm>
            <a:off x="142875" y="19050"/>
            <a:ext cx="9420225" cy="1402395"/>
          </a:xfrm>
          <a:prstGeom prst="rect">
            <a:avLst/>
          </a:prstGeom>
        </xdr:spPr>
      </xdr:pic>
      <xdr:pic>
        <xdr:nvPicPr>
          <xdr:cNvPr id="4" name="Picture 3">
            <a:extLst>
              <a:ext uri="{FF2B5EF4-FFF2-40B4-BE49-F238E27FC236}">
                <a16:creationId xmlns:a16="http://schemas.microsoft.com/office/drawing/2014/main" id="{AAD342D8-DA22-A021-6EE2-74A7303B1F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9049" t="26664" r="409" b="52365"/>
          <a:stretch/>
        </xdr:blipFill>
        <xdr:spPr>
          <a:xfrm>
            <a:off x="7924800" y="19050"/>
            <a:ext cx="1943100" cy="1402395"/>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5BFA-8E6C-4AC2-8581-80106EDE66F8}">
  <dimension ref="B2:V63"/>
  <sheetViews>
    <sheetView showGridLines="0" tabSelected="1" topLeftCell="A27" zoomScaleNormal="100" workbookViewId="0">
      <selection activeCell="B44" sqref="B44:L45"/>
    </sheetView>
  </sheetViews>
  <sheetFormatPr defaultRowHeight="12.75" x14ac:dyDescent="0.2"/>
  <cols>
    <col min="1" max="1" width="2.42578125" customWidth="1"/>
    <col min="2" max="2" width="38.85546875" style="41" customWidth="1"/>
    <col min="3" max="3" width="13.5703125" bestFit="1" customWidth="1"/>
    <col min="4" max="5" width="12.7109375" customWidth="1"/>
    <col min="6" max="6" width="13.5703125" customWidth="1"/>
    <col min="7" max="7" width="12.7109375" hidden="1" customWidth="1"/>
    <col min="8" max="8" width="12.42578125" hidden="1" customWidth="1"/>
    <col min="9" max="9" width="15.7109375" customWidth="1"/>
    <col min="10" max="10" width="10.28515625" customWidth="1"/>
    <col min="11" max="11" width="12.140625" customWidth="1"/>
    <col min="12" max="12" width="14" bestFit="1" customWidth="1"/>
    <col min="13" max="13" width="7.7109375" customWidth="1"/>
  </cols>
  <sheetData>
    <row r="2" spans="2:22" ht="15" customHeight="1" x14ac:dyDescent="0.2">
      <c r="D2" s="73"/>
      <c r="E2" s="73"/>
      <c r="F2" s="73"/>
      <c r="G2" s="73"/>
      <c r="H2" s="14"/>
      <c r="I2" s="9"/>
    </row>
    <row r="3" spans="2:22" ht="15" customHeight="1" x14ac:dyDescent="0.2">
      <c r="D3" s="66"/>
      <c r="E3" s="66"/>
      <c r="F3" s="66"/>
      <c r="G3" s="66"/>
      <c r="H3" s="13"/>
      <c r="J3" s="67"/>
      <c r="K3" s="67"/>
      <c r="L3" s="67"/>
      <c r="N3" s="4"/>
      <c r="O3" s="4"/>
      <c r="P3" s="4"/>
      <c r="Q3" s="4"/>
      <c r="R3" s="4"/>
      <c r="S3" s="4"/>
      <c r="T3" s="4"/>
      <c r="U3" s="4"/>
      <c r="V3" s="4"/>
    </row>
    <row r="4" spans="2:22" ht="15" customHeight="1" x14ac:dyDescent="0.2">
      <c r="C4" s="11"/>
      <c r="D4" s="66"/>
      <c r="E4" s="66"/>
      <c r="F4" s="66"/>
      <c r="G4" s="66"/>
      <c r="H4" s="13"/>
      <c r="J4" s="67"/>
      <c r="K4" s="67"/>
      <c r="L4" s="67"/>
      <c r="M4" s="6"/>
    </row>
    <row r="5" spans="2:22" ht="15" customHeight="1" x14ac:dyDescent="0.2">
      <c r="D5" s="66"/>
      <c r="E5" s="66"/>
      <c r="F5" s="66"/>
      <c r="G5" s="66"/>
      <c r="H5" s="13"/>
      <c r="J5" s="67"/>
      <c r="K5" s="67"/>
      <c r="L5" s="67"/>
      <c r="M5" s="6"/>
      <c r="N5" s="5"/>
      <c r="O5" s="5"/>
      <c r="P5" s="5"/>
      <c r="Q5" s="5"/>
      <c r="R5" s="5"/>
      <c r="S5" s="5"/>
      <c r="T5" s="5"/>
      <c r="U5" s="5"/>
      <c r="V5" s="5"/>
    </row>
    <row r="6" spans="2:22" ht="15" customHeight="1" x14ac:dyDescent="0.2">
      <c r="C6" s="11"/>
      <c r="D6" s="66"/>
      <c r="E6" s="66"/>
      <c r="F6" s="66"/>
      <c r="G6" s="66"/>
      <c r="H6" s="13"/>
      <c r="J6" s="67"/>
      <c r="K6" s="67"/>
      <c r="L6" s="67"/>
      <c r="M6" s="6"/>
    </row>
    <row r="7" spans="2:22" ht="15" customHeight="1" x14ac:dyDescent="0.2">
      <c r="D7" s="66"/>
      <c r="E7" s="66"/>
      <c r="F7" s="66"/>
      <c r="G7" s="66"/>
      <c r="H7" s="13"/>
      <c r="J7" s="67"/>
      <c r="K7" s="67"/>
      <c r="L7" s="67"/>
      <c r="M7" s="6"/>
    </row>
    <row r="8" spans="2:22" ht="15" customHeight="1" thickBot="1" x14ac:dyDescent="0.25">
      <c r="C8" s="7"/>
      <c r="D8" s="7"/>
      <c r="E8" s="7"/>
      <c r="F8" s="7"/>
      <c r="J8" s="1"/>
      <c r="K8" s="2"/>
      <c r="M8" s="6"/>
    </row>
    <row r="9" spans="2:22" ht="20.25" customHeight="1" x14ac:dyDescent="0.2">
      <c r="B9" s="68" t="s">
        <v>24</v>
      </c>
      <c r="C9" s="68"/>
      <c r="D9" s="68"/>
      <c r="E9" s="68"/>
      <c r="F9" s="68"/>
      <c r="G9" s="21"/>
      <c r="H9" s="21"/>
      <c r="I9" s="22"/>
      <c r="J9" s="69" t="s">
        <v>0</v>
      </c>
      <c r="K9" s="70"/>
      <c r="L9" s="71"/>
      <c r="N9" s="8"/>
    </row>
    <row r="10" spans="2:22" ht="23.25" customHeight="1" thickBot="1" x14ac:dyDescent="0.25">
      <c r="B10" s="68" t="s">
        <v>23</v>
      </c>
      <c r="C10" s="68"/>
      <c r="D10" s="68"/>
      <c r="E10" s="68"/>
      <c r="F10" s="68"/>
      <c r="G10" s="22"/>
      <c r="H10" s="22"/>
      <c r="I10" s="22"/>
      <c r="J10" s="30" t="s">
        <v>1</v>
      </c>
      <c r="K10" s="31" t="s">
        <v>2</v>
      </c>
      <c r="L10" s="32" t="s">
        <v>3</v>
      </c>
    </row>
    <row r="11" spans="2:22" ht="15" customHeight="1" thickBot="1" x14ac:dyDescent="0.25">
      <c r="B11" s="24" t="s">
        <v>22</v>
      </c>
      <c r="C11" s="72"/>
      <c r="D11" s="72"/>
      <c r="E11" s="72"/>
      <c r="F11" s="22"/>
      <c r="G11" s="22"/>
      <c r="H11" s="22"/>
      <c r="I11" s="22"/>
      <c r="J11" s="23"/>
      <c r="K11" s="22"/>
      <c r="L11" s="22"/>
    </row>
    <row r="12" spans="2:22" ht="15" customHeight="1" thickBot="1" x14ac:dyDescent="0.25">
      <c r="B12" s="24" t="s">
        <v>21</v>
      </c>
      <c r="C12" s="24"/>
      <c r="D12" s="24" t="s">
        <v>20</v>
      </c>
      <c r="E12" s="24"/>
      <c r="F12" s="22"/>
      <c r="G12" s="22"/>
      <c r="H12" s="22"/>
      <c r="I12" s="25" t="s">
        <v>4</v>
      </c>
      <c r="J12" s="34"/>
      <c r="K12" s="33"/>
      <c r="L12" s="35"/>
    </row>
    <row r="13" spans="2:22" ht="15" customHeight="1" thickBot="1" x14ac:dyDescent="0.25">
      <c r="B13" s="42"/>
      <c r="C13" s="22"/>
      <c r="D13" s="22"/>
      <c r="E13" s="22"/>
      <c r="F13" s="22"/>
      <c r="G13" s="22"/>
      <c r="H13" s="22"/>
      <c r="I13" s="22"/>
      <c r="J13" s="22"/>
      <c r="K13" s="22"/>
      <c r="L13" s="22"/>
    </row>
    <row r="14" spans="2:22" s="12" customFormat="1" ht="39" thickBot="1" x14ac:dyDescent="0.25">
      <c r="B14" s="52" t="s">
        <v>5</v>
      </c>
      <c r="C14" s="53" t="s">
        <v>6</v>
      </c>
      <c r="D14" s="53" t="s">
        <v>7</v>
      </c>
      <c r="E14" s="53" t="s">
        <v>8</v>
      </c>
      <c r="F14" s="53" t="s">
        <v>9</v>
      </c>
      <c r="G14" s="53" t="s">
        <v>10</v>
      </c>
      <c r="H14" s="53" t="s">
        <v>11</v>
      </c>
      <c r="I14" s="53" t="s">
        <v>12</v>
      </c>
      <c r="J14" s="53" t="s">
        <v>13</v>
      </c>
      <c r="K14" s="53" t="s">
        <v>14</v>
      </c>
      <c r="L14" s="54" t="s">
        <v>15</v>
      </c>
    </row>
    <row r="15" spans="2:22" s="3" customFormat="1" ht="17.25" customHeight="1" x14ac:dyDescent="0.2">
      <c r="B15" s="48"/>
      <c r="C15" s="36"/>
      <c r="D15" s="36"/>
      <c r="E15" s="37"/>
      <c r="F15" s="37"/>
      <c r="G15" s="37"/>
      <c r="H15" s="37"/>
      <c r="I15" s="38"/>
      <c r="J15" s="49" t="s">
        <v>16</v>
      </c>
      <c r="K15" s="50">
        <f>SUM(C15*365)/100+(D15*$L$12*12)/100+(E15*$J$12)/100+(F15*$K$12)/100+(G15*($J$12+$K$12))/100+(H15*($J$12+$K$12))/100</f>
        <v>0</v>
      </c>
      <c r="L15" s="51" t="s">
        <v>17</v>
      </c>
    </row>
    <row r="16" spans="2:22" s="3" customFormat="1" ht="17.25" customHeight="1" x14ac:dyDescent="0.2">
      <c r="B16" s="48"/>
      <c r="C16" s="36"/>
      <c r="D16" s="36"/>
      <c r="E16" s="37"/>
      <c r="F16" s="37"/>
      <c r="G16" s="37"/>
      <c r="H16" s="37"/>
      <c r="I16" s="38"/>
      <c r="J16" s="38" t="s">
        <v>16</v>
      </c>
      <c r="K16" s="39">
        <f t="shared" ref="K16:K39" si="0">SUM(C16*365)/100+(D16*$L$12*12)/100+(E16*$J$12)/100+(F16*$K$12)/100+(G16*($J$12+$K$12))/100+(H16*($J$12+$K$12))/100</f>
        <v>0</v>
      </c>
      <c r="L16" s="40">
        <f t="shared" ref="L16:L40" si="1">SUM(K16-$K$15)</f>
        <v>0</v>
      </c>
    </row>
    <row r="17" spans="2:12" s="3" customFormat="1" ht="17.25" customHeight="1" x14ac:dyDescent="0.2">
      <c r="B17" s="43"/>
      <c r="C17" s="36"/>
      <c r="D17" s="36"/>
      <c r="E17" s="37"/>
      <c r="F17" s="37"/>
      <c r="G17" s="37"/>
      <c r="H17" s="37"/>
      <c r="I17" s="38"/>
      <c r="J17" s="38" t="s">
        <v>16</v>
      </c>
      <c r="K17" s="39">
        <f t="shared" si="0"/>
        <v>0</v>
      </c>
      <c r="L17" s="40">
        <f t="shared" si="1"/>
        <v>0</v>
      </c>
    </row>
    <row r="18" spans="2:12" s="3" customFormat="1" ht="17.25" customHeight="1" x14ac:dyDescent="0.2">
      <c r="B18" s="43"/>
      <c r="C18" s="36"/>
      <c r="D18" s="36"/>
      <c r="E18" s="37"/>
      <c r="F18" s="37"/>
      <c r="G18" s="37"/>
      <c r="H18" s="37"/>
      <c r="I18" s="38"/>
      <c r="J18" s="38" t="s">
        <v>16</v>
      </c>
      <c r="K18" s="39">
        <f t="shared" si="0"/>
        <v>0</v>
      </c>
      <c r="L18" s="40">
        <f t="shared" si="1"/>
        <v>0</v>
      </c>
    </row>
    <row r="19" spans="2:12" s="3" customFormat="1" ht="17.25" customHeight="1" x14ac:dyDescent="0.2">
      <c r="B19" s="43"/>
      <c r="C19" s="36"/>
      <c r="D19" s="36"/>
      <c r="E19" s="37"/>
      <c r="F19" s="37"/>
      <c r="G19" s="37"/>
      <c r="H19" s="37"/>
      <c r="I19" s="38"/>
      <c r="J19" s="38" t="s">
        <v>16</v>
      </c>
      <c r="K19" s="39">
        <f t="shared" si="0"/>
        <v>0</v>
      </c>
      <c r="L19" s="40">
        <f t="shared" si="1"/>
        <v>0</v>
      </c>
    </row>
    <row r="20" spans="2:12" s="3" customFormat="1" ht="17.25" customHeight="1" x14ac:dyDescent="0.2">
      <c r="B20" s="43"/>
      <c r="C20" s="36"/>
      <c r="D20" s="36"/>
      <c r="E20" s="37"/>
      <c r="F20" s="37"/>
      <c r="G20" s="37"/>
      <c r="H20" s="37"/>
      <c r="I20" s="38"/>
      <c r="J20" s="38" t="s">
        <v>16</v>
      </c>
      <c r="K20" s="39">
        <f t="shared" si="0"/>
        <v>0</v>
      </c>
      <c r="L20" s="40">
        <f t="shared" si="1"/>
        <v>0</v>
      </c>
    </row>
    <row r="21" spans="2:12" s="3" customFormat="1" ht="17.25" customHeight="1" x14ac:dyDescent="0.2">
      <c r="B21" s="43"/>
      <c r="C21" s="36"/>
      <c r="D21" s="36"/>
      <c r="E21" s="37"/>
      <c r="F21" s="37"/>
      <c r="G21" s="37"/>
      <c r="H21" s="37"/>
      <c r="I21" s="38"/>
      <c r="J21" s="38" t="s">
        <v>16</v>
      </c>
      <c r="K21" s="39">
        <f t="shared" ref="K21:K23" si="2">SUM(C21*365)/100+(D21*$L$12*12)/100+(E21*$J$12)/100+(F21*$K$12)/100+(G21*($J$12+$K$12))/100+(H21*($J$12+$K$12))/100</f>
        <v>0</v>
      </c>
      <c r="L21" s="40">
        <f t="shared" ref="L21:L23" si="3">SUM(K21-$K$15)</f>
        <v>0</v>
      </c>
    </row>
    <row r="22" spans="2:12" s="3" customFormat="1" ht="17.25" customHeight="1" x14ac:dyDescent="0.2">
      <c r="B22" s="43"/>
      <c r="C22" s="36"/>
      <c r="D22" s="36"/>
      <c r="E22" s="37"/>
      <c r="F22" s="37"/>
      <c r="G22" s="37"/>
      <c r="H22" s="37"/>
      <c r="I22" s="38"/>
      <c r="J22" s="38" t="s">
        <v>16</v>
      </c>
      <c r="K22" s="39">
        <f t="shared" si="2"/>
        <v>0</v>
      </c>
      <c r="L22" s="40">
        <f t="shared" si="3"/>
        <v>0</v>
      </c>
    </row>
    <row r="23" spans="2:12" s="3" customFormat="1" ht="17.25" customHeight="1" x14ac:dyDescent="0.2">
      <c r="B23" s="43"/>
      <c r="C23" s="36"/>
      <c r="D23" s="36"/>
      <c r="E23" s="37"/>
      <c r="F23" s="37"/>
      <c r="G23" s="37"/>
      <c r="H23" s="37"/>
      <c r="I23" s="38"/>
      <c r="J23" s="38" t="s">
        <v>16</v>
      </c>
      <c r="K23" s="39">
        <f t="shared" si="2"/>
        <v>0</v>
      </c>
      <c r="L23" s="40">
        <f t="shared" si="3"/>
        <v>0</v>
      </c>
    </row>
    <row r="24" spans="2:12" s="3" customFormat="1" ht="17.25" customHeight="1" x14ac:dyDescent="0.2">
      <c r="B24" s="43"/>
      <c r="C24" s="36"/>
      <c r="D24" s="36"/>
      <c r="E24" s="37"/>
      <c r="F24" s="37"/>
      <c r="G24" s="37"/>
      <c r="H24" s="37"/>
      <c r="I24" s="38"/>
      <c r="J24" s="38" t="s">
        <v>16</v>
      </c>
      <c r="K24" s="39">
        <f t="shared" si="0"/>
        <v>0</v>
      </c>
      <c r="L24" s="40">
        <f t="shared" si="1"/>
        <v>0</v>
      </c>
    </row>
    <row r="25" spans="2:12" s="3" customFormat="1" ht="17.25" customHeight="1" x14ac:dyDescent="0.2">
      <c r="B25" s="43"/>
      <c r="C25" s="36"/>
      <c r="D25" s="36"/>
      <c r="E25" s="37"/>
      <c r="F25" s="37"/>
      <c r="G25" s="37"/>
      <c r="H25" s="37"/>
      <c r="I25" s="38"/>
      <c r="J25" s="38" t="s">
        <v>16</v>
      </c>
      <c r="K25" s="39">
        <f t="shared" si="0"/>
        <v>0</v>
      </c>
      <c r="L25" s="40">
        <f t="shared" si="1"/>
        <v>0</v>
      </c>
    </row>
    <row r="26" spans="2:12" s="3" customFormat="1" ht="17.25" customHeight="1" x14ac:dyDescent="0.2">
      <c r="B26" s="43"/>
      <c r="C26" s="36"/>
      <c r="D26" s="36"/>
      <c r="E26" s="37"/>
      <c r="F26" s="37"/>
      <c r="G26" s="37"/>
      <c r="H26" s="37"/>
      <c r="I26" s="38"/>
      <c r="J26" s="38" t="s">
        <v>16</v>
      </c>
      <c r="K26" s="39">
        <f t="shared" si="0"/>
        <v>0</v>
      </c>
      <c r="L26" s="40">
        <f t="shared" si="1"/>
        <v>0</v>
      </c>
    </row>
    <row r="27" spans="2:12" s="3" customFormat="1" ht="17.25" customHeight="1" x14ac:dyDescent="0.2">
      <c r="B27" s="43"/>
      <c r="C27" s="36"/>
      <c r="D27" s="36"/>
      <c r="E27" s="37"/>
      <c r="F27" s="37"/>
      <c r="G27" s="37"/>
      <c r="H27" s="37"/>
      <c r="I27" s="38"/>
      <c r="J27" s="38" t="s">
        <v>16</v>
      </c>
      <c r="K27" s="39">
        <f t="shared" si="0"/>
        <v>0</v>
      </c>
      <c r="L27" s="40">
        <f t="shared" si="1"/>
        <v>0</v>
      </c>
    </row>
    <row r="28" spans="2:12" s="3" customFormat="1" ht="17.25" customHeight="1" x14ac:dyDescent="0.2">
      <c r="B28" s="43"/>
      <c r="C28" s="36"/>
      <c r="D28" s="36"/>
      <c r="E28" s="37"/>
      <c r="F28" s="37"/>
      <c r="G28" s="37"/>
      <c r="H28" s="37"/>
      <c r="I28" s="38"/>
      <c r="J28" s="38" t="s">
        <v>16</v>
      </c>
      <c r="K28" s="39">
        <f t="shared" si="0"/>
        <v>0</v>
      </c>
      <c r="L28" s="40">
        <f t="shared" si="1"/>
        <v>0</v>
      </c>
    </row>
    <row r="29" spans="2:12" s="3" customFormat="1" ht="17.25" customHeight="1" x14ac:dyDescent="0.2">
      <c r="B29" s="43"/>
      <c r="C29" s="36"/>
      <c r="D29" s="36"/>
      <c r="E29" s="37"/>
      <c r="F29" s="37"/>
      <c r="G29" s="37"/>
      <c r="H29" s="37"/>
      <c r="I29" s="38"/>
      <c r="J29" s="38" t="s">
        <v>16</v>
      </c>
      <c r="K29" s="39">
        <f t="shared" si="0"/>
        <v>0</v>
      </c>
      <c r="L29" s="40">
        <f t="shared" si="1"/>
        <v>0</v>
      </c>
    </row>
    <row r="30" spans="2:12" s="3" customFormat="1" ht="17.25" customHeight="1" x14ac:dyDescent="0.2">
      <c r="B30" s="43"/>
      <c r="C30" s="36"/>
      <c r="D30" s="36"/>
      <c r="E30" s="37"/>
      <c r="F30" s="37"/>
      <c r="G30" s="37"/>
      <c r="H30" s="37"/>
      <c r="I30" s="38"/>
      <c r="J30" s="38" t="s">
        <v>16</v>
      </c>
      <c r="K30" s="39">
        <f>SUM(C30*365)/100+(D29*$L$12*12)/100+(E30*$J$12)/100+(F30*$K$12)/100+(G30*($J$12+$K$12))/100+(H30*($J$12+$K$12))/100</f>
        <v>0</v>
      </c>
      <c r="L30" s="40">
        <f t="shared" si="1"/>
        <v>0</v>
      </c>
    </row>
    <row r="31" spans="2:12" s="3" customFormat="1" ht="17.25" customHeight="1" x14ac:dyDescent="0.2">
      <c r="B31" s="43"/>
      <c r="C31" s="36"/>
      <c r="D31" s="36"/>
      <c r="E31" s="37"/>
      <c r="F31" s="37"/>
      <c r="G31" s="37"/>
      <c r="H31" s="37"/>
      <c r="I31" s="38"/>
      <c r="J31" s="38" t="s">
        <v>16</v>
      </c>
      <c r="K31" s="39">
        <f>SUM(C31*365)/100+(D30*$L$12*12)/100+(E31*$J$12)/100+(F31*$K$12)/100+(G31*($J$12+$K$12))/100+(H31*($J$12+$K$12))/100</f>
        <v>0</v>
      </c>
      <c r="L31" s="40">
        <f t="shared" ref="L31:L38" si="4">SUM(K31-$K$15)</f>
        <v>0</v>
      </c>
    </row>
    <row r="32" spans="2:12" s="3" customFormat="1" ht="17.25" customHeight="1" x14ac:dyDescent="0.2">
      <c r="B32" s="43"/>
      <c r="C32" s="36"/>
      <c r="D32" s="36"/>
      <c r="E32" s="37"/>
      <c r="F32" s="37"/>
      <c r="G32" s="37"/>
      <c r="H32" s="37"/>
      <c r="I32" s="38"/>
      <c r="J32" s="38" t="s">
        <v>16</v>
      </c>
      <c r="K32" s="39">
        <f t="shared" ref="K32:K38" si="5">SUM(C32*365)/100+(D32*$L$12*12)/100+(E32*$J$12)/100+(F32*$K$12)/100+(G32*($J$12+$K$12))/100+(H32*($J$12+$K$12))/100</f>
        <v>0</v>
      </c>
      <c r="L32" s="40">
        <f t="shared" si="4"/>
        <v>0</v>
      </c>
    </row>
    <row r="33" spans="2:12" s="3" customFormat="1" ht="17.25" customHeight="1" x14ac:dyDescent="0.2">
      <c r="B33" s="43"/>
      <c r="C33" s="36"/>
      <c r="D33" s="36"/>
      <c r="E33" s="37"/>
      <c r="F33" s="37"/>
      <c r="G33" s="37"/>
      <c r="H33" s="37"/>
      <c r="I33" s="38"/>
      <c r="J33" s="38" t="s">
        <v>16</v>
      </c>
      <c r="K33" s="39">
        <f t="shared" si="5"/>
        <v>0</v>
      </c>
      <c r="L33" s="40">
        <f t="shared" si="4"/>
        <v>0</v>
      </c>
    </row>
    <row r="34" spans="2:12" s="3" customFormat="1" ht="17.25" customHeight="1" x14ac:dyDescent="0.2">
      <c r="B34" s="43"/>
      <c r="C34" s="36"/>
      <c r="D34" s="36"/>
      <c r="E34" s="37"/>
      <c r="F34" s="37"/>
      <c r="G34" s="37"/>
      <c r="H34" s="37"/>
      <c r="I34" s="38"/>
      <c r="J34" s="38" t="s">
        <v>16</v>
      </c>
      <c r="K34" s="39">
        <f t="shared" si="5"/>
        <v>0</v>
      </c>
      <c r="L34" s="40">
        <f t="shared" si="4"/>
        <v>0</v>
      </c>
    </row>
    <row r="35" spans="2:12" s="3" customFormat="1" ht="17.25" customHeight="1" x14ac:dyDescent="0.2">
      <c r="B35" s="43"/>
      <c r="C35" s="36"/>
      <c r="D35" s="36"/>
      <c r="E35" s="37"/>
      <c r="F35" s="37"/>
      <c r="G35" s="37"/>
      <c r="H35" s="37"/>
      <c r="I35" s="38"/>
      <c r="J35" s="38" t="s">
        <v>16</v>
      </c>
      <c r="K35" s="39">
        <f t="shared" si="5"/>
        <v>0</v>
      </c>
      <c r="L35" s="40">
        <f t="shared" si="4"/>
        <v>0</v>
      </c>
    </row>
    <row r="36" spans="2:12" s="3" customFormat="1" ht="17.25" customHeight="1" x14ac:dyDescent="0.2">
      <c r="B36" s="43"/>
      <c r="C36" s="36"/>
      <c r="D36" s="36"/>
      <c r="E36" s="37"/>
      <c r="F36" s="37"/>
      <c r="G36" s="37"/>
      <c r="H36" s="37"/>
      <c r="I36" s="38"/>
      <c r="J36" s="38" t="s">
        <v>16</v>
      </c>
      <c r="K36" s="39">
        <f t="shared" si="5"/>
        <v>0</v>
      </c>
      <c r="L36" s="40">
        <f t="shared" si="4"/>
        <v>0</v>
      </c>
    </row>
    <row r="37" spans="2:12" s="3" customFormat="1" ht="17.25" customHeight="1" x14ac:dyDescent="0.2">
      <c r="B37" s="43"/>
      <c r="C37" s="36"/>
      <c r="D37" s="36"/>
      <c r="E37" s="37"/>
      <c r="F37" s="37"/>
      <c r="G37" s="37"/>
      <c r="H37" s="37"/>
      <c r="I37" s="38"/>
      <c r="J37" s="38" t="s">
        <v>16</v>
      </c>
      <c r="K37" s="39">
        <f t="shared" si="5"/>
        <v>0</v>
      </c>
      <c r="L37" s="40">
        <f t="shared" si="4"/>
        <v>0</v>
      </c>
    </row>
    <row r="38" spans="2:12" s="3" customFormat="1" ht="17.25" customHeight="1" x14ac:dyDescent="0.2">
      <c r="B38" s="43"/>
      <c r="C38" s="36"/>
      <c r="D38" s="36"/>
      <c r="E38" s="37"/>
      <c r="F38" s="37"/>
      <c r="G38" s="37"/>
      <c r="H38" s="37"/>
      <c r="I38" s="38"/>
      <c r="J38" s="38" t="s">
        <v>16</v>
      </c>
      <c r="K38" s="39">
        <f t="shared" si="5"/>
        <v>0</v>
      </c>
      <c r="L38" s="40">
        <f t="shared" si="4"/>
        <v>0</v>
      </c>
    </row>
    <row r="39" spans="2:12" s="3" customFormat="1" ht="17.25" customHeight="1" x14ac:dyDescent="0.2">
      <c r="B39" s="43"/>
      <c r="C39" s="36"/>
      <c r="D39" s="36"/>
      <c r="E39" s="37"/>
      <c r="F39" s="37"/>
      <c r="G39" s="37"/>
      <c r="H39" s="37"/>
      <c r="I39" s="38"/>
      <c r="J39" s="38" t="s">
        <v>16</v>
      </c>
      <c r="K39" s="39">
        <f t="shared" si="0"/>
        <v>0</v>
      </c>
      <c r="L39" s="40">
        <f t="shared" si="1"/>
        <v>0</v>
      </c>
    </row>
    <row r="40" spans="2:12" s="3" customFormat="1" ht="17.25" customHeight="1" x14ac:dyDescent="0.2">
      <c r="B40" s="43"/>
      <c r="C40" s="36"/>
      <c r="D40" s="36"/>
      <c r="E40" s="37"/>
      <c r="F40" s="37"/>
      <c r="G40" s="37"/>
      <c r="H40" s="37"/>
      <c r="I40" s="38"/>
      <c r="J40" s="38" t="s">
        <v>16</v>
      </c>
      <c r="K40" s="39">
        <f>SUM(C40*365)/100+(D40*$L$12*12)/100+(E40*$J$12)/100+(F40*$K$12)/100+(G40*($J$12+$K$12))/100+(H40*($J$12+$K$12))/100</f>
        <v>0</v>
      </c>
      <c r="L40" s="40">
        <f t="shared" si="1"/>
        <v>0</v>
      </c>
    </row>
    <row r="41" spans="2:12" s="3" customFormat="1" ht="15.75" customHeight="1" thickBot="1" x14ac:dyDescent="0.25">
      <c r="B41" s="44"/>
      <c r="C41" s="26"/>
      <c r="D41" s="26"/>
      <c r="E41" s="27"/>
      <c r="F41" s="27"/>
      <c r="G41" s="17"/>
      <c r="H41" s="17"/>
      <c r="I41" s="18"/>
      <c r="J41" s="18"/>
      <c r="K41" s="19"/>
      <c r="L41" s="20"/>
    </row>
    <row r="42" spans="2:12" s="3" customFormat="1" ht="26.25" customHeight="1" thickBot="1" x14ac:dyDescent="0.25">
      <c r="B42" s="55" t="s">
        <v>18</v>
      </c>
      <c r="C42" s="56"/>
      <c r="D42" s="56"/>
      <c r="E42" s="56"/>
      <c r="F42" s="56"/>
      <c r="G42" s="56"/>
      <c r="H42" s="56"/>
      <c r="I42" s="56"/>
      <c r="J42" s="56"/>
      <c r="K42" s="56"/>
      <c r="L42" s="57"/>
    </row>
    <row r="43" spans="2:12" s="3" customFormat="1" ht="17.25" customHeight="1" thickBot="1" x14ac:dyDescent="0.35">
      <c r="B43" s="45" t="s">
        <v>19</v>
      </c>
      <c r="C43" s="28"/>
      <c r="D43" s="28"/>
      <c r="E43" s="28"/>
      <c r="F43" s="28"/>
      <c r="G43" s="29"/>
      <c r="H43" s="29"/>
      <c r="I43" s="28"/>
      <c r="J43" s="28"/>
      <c r="K43" s="15"/>
      <c r="L43" s="16"/>
    </row>
    <row r="44" spans="2:12" s="3" customFormat="1" ht="10.5" customHeight="1" x14ac:dyDescent="0.2">
      <c r="B44" s="58" t="s">
        <v>25</v>
      </c>
      <c r="C44" s="59"/>
      <c r="D44" s="59"/>
      <c r="E44" s="59"/>
      <c r="F44" s="59"/>
      <c r="G44" s="59"/>
      <c r="H44" s="59"/>
      <c r="I44" s="59"/>
      <c r="J44" s="59"/>
      <c r="K44" s="59"/>
      <c r="L44" s="60"/>
    </row>
    <row r="45" spans="2:12" s="3" customFormat="1" ht="91.5" customHeight="1" thickBot="1" x14ac:dyDescent="0.25">
      <c r="B45" s="61"/>
      <c r="C45" s="62"/>
      <c r="D45" s="62"/>
      <c r="E45" s="62"/>
      <c r="F45" s="62"/>
      <c r="G45" s="62"/>
      <c r="H45" s="62"/>
      <c r="I45" s="62"/>
      <c r="J45" s="62"/>
      <c r="K45" s="62"/>
      <c r="L45" s="63"/>
    </row>
    <row r="46" spans="2:12" s="3" customFormat="1" ht="17.25" customHeight="1" x14ac:dyDescent="0.2">
      <c r="B46" s="46"/>
      <c r="C46" s="10"/>
      <c r="D46" s="10"/>
      <c r="E46" s="10"/>
      <c r="F46" s="10"/>
      <c r="G46" s="10"/>
      <c r="H46" s="10"/>
      <c r="I46" s="10"/>
      <c r="J46" s="10"/>
      <c r="K46" s="10"/>
      <c r="L46" s="10"/>
    </row>
    <row r="47" spans="2:12" s="3" customFormat="1" ht="17.25" customHeight="1" x14ac:dyDescent="0.2">
      <c r="B47" s="64"/>
      <c r="C47" s="64"/>
      <c r="D47" s="64"/>
      <c r="E47" s="64"/>
      <c r="F47" s="64"/>
      <c r="G47" s="64"/>
      <c r="H47" s="64"/>
      <c r="I47" s="64"/>
      <c r="J47" s="64"/>
      <c r="K47" s="64"/>
      <c r="L47" s="64"/>
    </row>
    <row r="48" spans="2:12" s="3" customFormat="1" ht="17.25" customHeight="1" x14ac:dyDescent="0.2">
      <c r="B48" s="65"/>
      <c r="C48" s="65"/>
      <c r="D48" s="65"/>
      <c r="E48" s="65"/>
      <c r="F48" s="65"/>
      <c r="G48" s="65"/>
      <c r="H48" s="65"/>
      <c r="I48" s="65"/>
      <c r="J48" s="65"/>
      <c r="K48" s="65"/>
      <c r="L48" s="65"/>
    </row>
    <row r="49" spans="2:12" s="3" customFormat="1" ht="17.25" customHeight="1" x14ac:dyDescent="0.2">
      <c r="B49" s="65"/>
      <c r="C49" s="65"/>
      <c r="D49" s="65"/>
      <c r="E49" s="65"/>
      <c r="F49" s="65"/>
      <c r="G49" s="65"/>
      <c r="H49" s="65"/>
      <c r="I49" s="65"/>
      <c r="J49" s="65"/>
      <c r="K49" s="65"/>
      <c r="L49" s="65"/>
    </row>
    <row r="50" spans="2:12" s="3" customFormat="1" ht="15" x14ac:dyDescent="0.2">
      <c r="B50" s="47"/>
    </row>
    <row r="51" spans="2:12" s="1" customFormat="1" ht="18.75" customHeight="1" x14ac:dyDescent="0.2">
      <c r="B51" s="47"/>
      <c r="C51" s="3"/>
      <c r="D51" s="3"/>
      <c r="E51" s="3"/>
      <c r="F51" s="3"/>
      <c r="G51" s="3"/>
      <c r="H51" s="3"/>
      <c r="I51" s="3"/>
      <c r="J51" s="3"/>
      <c r="K51" s="3"/>
      <c r="L51" s="3"/>
    </row>
    <row r="52" spans="2:12" s="1" customFormat="1" ht="11.25" customHeight="1" x14ac:dyDescent="0.2">
      <c r="B52" s="47"/>
      <c r="C52" s="3"/>
      <c r="D52" s="3"/>
      <c r="E52" s="3"/>
      <c r="F52" s="3"/>
      <c r="G52" s="3"/>
      <c r="H52" s="3"/>
      <c r="I52" s="3"/>
      <c r="J52" s="3"/>
      <c r="K52" s="3"/>
      <c r="L52" s="3"/>
    </row>
    <row r="53" spans="2:12" s="1" customFormat="1" ht="15" x14ac:dyDescent="0.2">
      <c r="B53" s="47"/>
      <c r="C53" s="3"/>
      <c r="D53" s="3"/>
      <c r="E53" s="3"/>
      <c r="F53" s="3"/>
      <c r="G53" s="3"/>
      <c r="H53" s="3"/>
      <c r="I53" s="3"/>
      <c r="J53" s="3"/>
      <c r="K53" s="3"/>
      <c r="L53" s="3"/>
    </row>
    <row r="54" spans="2:12" s="1" customFormat="1" ht="24.75" customHeight="1" x14ac:dyDescent="0.2">
      <c r="B54" s="47"/>
      <c r="C54" s="3"/>
      <c r="D54" s="3"/>
      <c r="E54" s="3"/>
      <c r="F54" s="3"/>
      <c r="G54" s="3"/>
      <c r="H54" s="3"/>
      <c r="I54" s="3"/>
      <c r="J54" s="3"/>
      <c r="K54" s="3"/>
      <c r="L54" s="3"/>
    </row>
    <row r="55" spans="2:12" s="1" customFormat="1" ht="15" x14ac:dyDescent="0.2">
      <c r="B55" s="47"/>
      <c r="C55" s="3"/>
      <c r="D55" s="3"/>
      <c r="E55" s="3"/>
      <c r="F55" s="3"/>
      <c r="G55" s="3"/>
      <c r="H55" s="3"/>
      <c r="I55" s="3"/>
      <c r="J55" s="3"/>
      <c r="K55" s="3"/>
      <c r="L55" s="3"/>
    </row>
    <row r="56" spans="2:12" s="3" customFormat="1" ht="23.25" customHeight="1" x14ac:dyDescent="0.2">
      <c r="B56" s="41"/>
      <c r="C56"/>
      <c r="D56"/>
      <c r="E56"/>
      <c r="F56"/>
      <c r="G56"/>
      <c r="H56"/>
      <c r="I56"/>
      <c r="J56"/>
      <c r="K56"/>
      <c r="L56"/>
    </row>
    <row r="57" spans="2:12" s="3" customFormat="1" ht="23.25" customHeight="1" x14ac:dyDescent="0.2">
      <c r="B57" s="41"/>
      <c r="C57"/>
      <c r="D57"/>
      <c r="E57"/>
      <c r="F57"/>
      <c r="G57"/>
      <c r="H57"/>
      <c r="I57"/>
      <c r="J57"/>
      <c r="K57"/>
      <c r="L57"/>
    </row>
    <row r="58" spans="2:12" s="3" customFormat="1" ht="23.25" customHeight="1" x14ac:dyDescent="0.2">
      <c r="B58" s="41"/>
      <c r="C58"/>
      <c r="D58"/>
      <c r="E58"/>
      <c r="F58"/>
      <c r="G58"/>
      <c r="H58"/>
      <c r="I58"/>
      <c r="J58"/>
      <c r="K58"/>
      <c r="L58"/>
    </row>
    <row r="59" spans="2:12" s="3" customFormat="1" ht="23.25" customHeight="1" x14ac:dyDescent="0.2">
      <c r="B59" s="41"/>
      <c r="C59"/>
      <c r="D59"/>
      <c r="E59"/>
      <c r="F59"/>
      <c r="G59"/>
      <c r="H59"/>
      <c r="I59"/>
      <c r="J59"/>
      <c r="K59"/>
      <c r="L59"/>
    </row>
    <row r="60" spans="2:12" s="3" customFormat="1" ht="23.25" customHeight="1" x14ac:dyDescent="0.2">
      <c r="B60" s="41"/>
      <c r="C60"/>
      <c r="D60"/>
      <c r="E60"/>
      <c r="F60"/>
      <c r="G60"/>
      <c r="H60"/>
      <c r="I60"/>
      <c r="J60"/>
      <c r="K60"/>
      <c r="L60"/>
    </row>
    <row r="61" spans="2:12" s="3" customFormat="1" ht="23.25" customHeight="1" x14ac:dyDescent="0.2">
      <c r="B61" s="41"/>
      <c r="C61"/>
      <c r="D61"/>
      <c r="E61"/>
      <c r="F61"/>
      <c r="G61"/>
      <c r="H61"/>
      <c r="I61"/>
      <c r="J61"/>
      <c r="K61"/>
      <c r="L61"/>
    </row>
    <row r="62" spans="2:12" s="3" customFormat="1" ht="23.25" customHeight="1" x14ac:dyDescent="0.2">
      <c r="B62" s="41"/>
      <c r="C62"/>
      <c r="D62"/>
      <c r="E62"/>
      <c r="F62"/>
      <c r="G62"/>
      <c r="H62"/>
      <c r="I62"/>
      <c r="J62"/>
      <c r="K62"/>
      <c r="L62"/>
    </row>
    <row r="63" spans="2:12" s="3" customFormat="1" ht="23.25" customHeight="1" x14ac:dyDescent="0.2">
      <c r="B63" s="41"/>
      <c r="C63"/>
      <c r="D63"/>
      <c r="E63"/>
      <c r="F63"/>
      <c r="G63"/>
      <c r="H63"/>
      <c r="I63"/>
      <c r="J63"/>
      <c r="K63"/>
      <c r="L63"/>
    </row>
  </sheetData>
  <mergeCells count="18">
    <mergeCell ref="C11:E11"/>
    <mergeCell ref="D2:G2"/>
    <mergeCell ref="D3:G4"/>
    <mergeCell ref="J3:L3"/>
    <mergeCell ref="J4:L4"/>
    <mergeCell ref="D5:G6"/>
    <mergeCell ref="J5:L5"/>
    <mergeCell ref="J6:L6"/>
    <mergeCell ref="D7:G7"/>
    <mergeCell ref="J7:L7"/>
    <mergeCell ref="B9:F9"/>
    <mergeCell ref="J9:L9"/>
    <mergeCell ref="B10:F10"/>
    <mergeCell ref="B42:L42"/>
    <mergeCell ref="B44:L45"/>
    <mergeCell ref="B47:L47"/>
    <mergeCell ref="B48:L48"/>
    <mergeCell ref="B49:L49"/>
  </mergeCells>
  <pageMargins left="0.75" right="0.75" top="1" bottom="1" header="0.5" footer="0.5"/>
  <pageSetup paperSize="9"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78bf29f-9f95-42a2-8305-caea30f2b04e">
      <Terms xmlns="http://schemas.microsoft.com/office/infopath/2007/PartnerControls"/>
    </lcf76f155ced4ddcb4097134ff3c332f>
    <TaxCatchAll xmlns="6033a234-c704-4e9b-9e67-19f260df118c" xsi:nil="true"/>
    <DateandTime xmlns="978bf29f-9f95-42a2-8305-caea30f2b04e">2023-12-01T12:59:42+00:00</DateandTime>
    <Todaysdate xmlns="978bf29f-9f95-42a2-8305-caea30f2b04e">2023-12-01T12:59:42+00:00</Todaysdat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C27CF7FE4C58489D6BED6C55029318" ma:contentTypeVersion="17" ma:contentTypeDescription="Create a new document." ma:contentTypeScope="" ma:versionID="b06d66a724648953a24013e93ab3d282">
  <xsd:schema xmlns:xsd="http://www.w3.org/2001/XMLSchema" xmlns:xs="http://www.w3.org/2001/XMLSchema" xmlns:p="http://schemas.microsoft.com/office/2006/metadata/properties" xmlns:ns2="978bf29f-9f95-42a2-8305-caea30f2b04e" xmlns:ns3="6033a234-c704-4e9b-9e67-19f260df118c" targetNamespace="http://schemas.microsoft.com/office/2006/metadata/properties" ma:root="true" ma:fieldsID="aab73293474b7120d1db694bf3ddc273" ns2:_="" ns3:_="">
    <xsd:import namespace="978bf29f-9f95-42a2-8305-caea30f2b04e"/>
    <xsd:import namespace="6033a234-c704-4e9b-9e67-19f260df118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DateandTime" minOccurs="0"/>
                <xsd:element ref="ns2:Todays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bf29f-9f95-42a2-8305-caea30f2b04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1d209a1-6187-45fc-ae09-e0f41cb50e5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DateandTime" ma:index="22" nillable="true" ma:displayName="Date and Time" ma:default="[today]" ma:format="DateTime" ma:internalName="DateandTime">
      <xsd:simpleType>
        <xsd:restriction base="dms:DateTime"/>
      </xsd:simpleType>
    </xsd:element>
    <xsd:element name="Todaysdate" ma:index="23" nillable="true" ma:displayName="Todays date" ma:default="[today]" ma:format="DateTime" ma:internalName="Todaysdate">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33a234-c704-4e9b-9e67-19f260df118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b4d813a-5288-4ad1-87c6-9b3a79e1540b}" ma:internalName="TaxCatchAll" ma:showField="CatchAllData" ma:web="6033a234-c704-4e9b-9e67-19f260df11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A836AB-E146-4142-A0A3-472204AC9D0D}">
  <ds:schemaRefs>
    <ds:schemaRef ds:uri="http://schemas.microsoft.com/sharepoint/v3/contenttype/forms"/>
  </ds:schemaRefs>
</ds:datastoreItem>
</file>

<file path=customXml/itemProps2.xml><?xml version="1.0" encoding="utf-8"?>
<ds:datastoreItem xmlns:ds="http://schemas.openxmlformats.org/officeDocument/2006/customXml" ds:itemID="{188DB717-EB22-48D3-BEFE-CF874D61A7B6}">
  <ds:schemaRefs>
    <ds:schemaRef ds:uri="http://schemas.microsoft.com/office/2006/metadata/properties"/>
    <ds:schemaRef ds:uri="http://schemas.microsoft.com/office/infopath/2007/PartnerControls"/>
    <ds:schemaRef ds:uri="978bf29f-9f95-42a2-8305-caea30f2b04e"/>
    <ds:schemaRef ds:uri="6033a234-c704-4e9b-9e67-19f260df118c"/>
  </ds:schemaRefs>
</ds:datastoreItem>
</file>

<file path=customXml/itemProps3.xml><?xml version="1.0" encoding="utf-8"?>
<ds:datastoreItem xmlns:ds="http://schemas.openxmlformats.org/officeDocument/2006/customXml" ds:itemID="{6DD0BC81-29E4-40F8-886F-BECC46E91D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bf29f-9f95-42a2-8305-caea30f2b04e"/>
    <ds:schemaRef ds:uri="6033a234-c704-4e9b-9e67-19f260df1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2200030035659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deepti</dc:creator>
  <cp:keywords/>
  <dc:description/>
  <cp:lastModifiedBy>Tayeb Benjelloun</cp:lastModifiedBy>
  <cp:revision/>
  <dcterms:created xsi:type="dcterms:W3CDTF">2008-04-29T09:27:18Z</dcterms:created>
  <dcterms:modified xsi:type="dcterms:W3CDTF">2026-08-27T12:51:18Z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0x010100BFC27CF7FE4C58489D6BED6C55029318</vt:lpwstr>
  </property>
  <property fmtid="{D5CDD505-2E9C-101B-9397-08002B2CF9AE}" pid="3" name="MediaServiceImageTags">
    <vt:lpwstr/>
  </property>
</Properties>
</file>