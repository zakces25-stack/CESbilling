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comments8.xml" ContentType="application/vnd.openxmlformats-officedocument.spreadsheetml.comments+xml"/>
  <Override PartName="/xl/comments20.xml" ContentType="application/vnd.openxmlformats-officedocument.spreadsheetml.comments+xml"/>
  <Override PartName="/xl/styles.xml" ContentType="application/vnd.openxmlformats-officedocument.spreadsheetml.styles+xml"/>
  <Override PartName="/xl/comments15.xml" ContentType="application/vnd.openxmlformats-officedocument.spreadsheetml.comments+xml"/>
  <Override PartName="/xl/comments18.xml" ContentType="application/vnd.openxmlformats-officedocument.spreadsheetml.comments+xml"/>
  <Override PartName="/xl/comments6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2.xml" ContentType="application/vnd.openxmlformats-officedocument.spreadsheetml.comments+xml"/>
  <Override PartName="/xl/comments11.xml" ContentType="application/vnd.openxmlformats-officedocument.spreadsheetml.comments+xml"/>
  <Override PartName="/xl/workbook.xml" ContentType="application/vnd.openxmlformats-officedocument.spreadsheetml.sheet.main+xml"/>
  <Override PartName="/xl/comments3.xml" ContentType="application/vnd.openxmlformats-officedocument.spreadsheetml.comments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5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comments16.xml" ContentType="application/vnd.openxmlformats-officedocument.spreadsheetml.comments+xml"/>
  <Override PartName="/xl/comments21.xml" ContentType="application/vnd.openxmlformats-officedocument.spreadsheetml.comments+xml"/>
  <Override PartName="/xl/comments17.xml" ContentType="application/vnd.openxmlformats-officedocument.spreadsheetml.comments+xml"/>
  <Override PartName="/xl/comments7.xml" ContentType="application/vnd.openxmlformats-officedocument.spreadsheetml.comments+xml"/>
  <Override PartName="/xl/comments13.xml" ContentType="application/vnd.openxmlformats-officedocument.spreadsheetml.comments+xml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6.vml" ContentType="application/vnd.openxmlformats-officedocument.vmlDrawing"/>
  <Override PartName="/xl/drawings/vmlDrawing17.vml" ContentType="application/vnd.openxmlformats-officedocument.vmlDrawing"/>
  <Override PartName="/xl/drawings/vmlDrawing15.vml" ContentType="application/vnd.openxmlformats-officedocument.vmlDrawing"/>
  <Override PartName="/xl/drawings/vmlDrawing12.vml" ContentType="application/vnd.openxmlformats-officedocument.vmlDrawing"/>
  <Override PartName="/xl/drawings/vmlDrawing18.vml" ContentType="application/vnd.openxmlformats-officedocument.vmlDrawing"/>
  <Override PartName="/xl/drawings/vmlDrawing16.vml" ContentType="application/vnd.openxmlformats-officedocument.vmlDrawing"/>
  <Override PartName="/xl/drawings/vmlDrawing19.vml" ContentType="application/vnd.openxmlformats-officedocument.vmlDrawing"/>
  <Override PartName="/xl/drawings/vmlDrawing13.vml" ContentType="application/vnd.openxmlformats-officedocument.vmlDrawing"/>
  <Override PartName="/xl/drawings/drawing1.xml" ContentType="application/vnd.openxmlformats-officedocument.drawing+xml"/>
  <Override PartName="/xl/drawings/vmlDrawing7.vml" ContentType="application/vnd.openxmlformats-officedocument.vmlDrawing"/>
  <Override PartName="/xl/drawings/vmlDrawing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5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omments19.xml" ContentType="application/vnd.openxmlformats-officedocument.spreadsheetml.comments+xml"/>
  <Override PartName="/xl/comments9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Company" sheetId="2" state="visible" r:id="rId4"/>
    <sheet name="Scope 1 - Category 1" sheetId="3" state="visible" r:id="rId5"/>
    <sheet name="Company Vehicles" sheetId="4" state="visible" r:id="rId6"/>
    <sheet name="Scope 2 - Category 1" sheetId="5" state="visible" r:id="rId7"/>
    <sheet name="Scope 2 - Category 2" sheetId="6" state="visible" r:id="rId8"/>
    <sheet name="Scope 3 - Category 1" sheetId="7" state="visible" r:id="rId9"/>
    <sheet name="Scope 3 - Category 2" sheetId="8" state="visible" r:id="rId10"/>
    <sheet name="Scope 3 - Category 3" sheetId="9" state="visible" r:id="rId11"/>
    <sheet name="Scope 3 - Category 4" sheetId="10" state="visible" r:id="rId12"/>
    <sheet name="Scope 3 - Category 5" sheetId="11" state="visible" r:id="rId13"/>
    <sheet name="Scope 3 - Category 6" sheetId="12" state="visible" r:id="rId14"/>
    <sheet name="Scope 3 - Category 7" sheetId="13" state="visible" r:id="rId15"/>
    <sheet name="Scope 3 - Category 8" sheetId="14" state="visible" r:id="rId16"/>
    <sheet name="Scope 3 - Category 9" sheetId="15" state="visible" r:id="rId17"/>
    <sheet name="Scope 3 - Category 10" sheetId="16" state="visible" r:id="rId18"/>
    <sheet name="Scope 3 - Category 11" sheetId="17" state="visible" r:id="rId19"/>
    <sheet name="Scope 3 - Category 12" sheetId="18" state="visible" r:id="rId20"/>
    <sheet name="Scope 3 - Category 13" sheetId="19" state="visible" r:id="rId21"/>
    <sheet name="Scope 3 - Category 14" sheetId="20" state="visible" r:id="rId22"/>
    <sheet name="Scope 3 - Category 15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Gas: kWh · Green Gas: kWh</t>
        </r>
      </text>
    </comment>
    <comment ref="E20" authorId="0">
      <text>
        <r>
          <rPr>
            <sz val="10"/>
            <rFont val="Arial"/>
            <family val="2"/>
          </rPr>
          <t xml:space="preserve">Accepted units — litres, kWh, kg, tonnes (per fuel)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All: miles or litres or km · except Car - Electric: miles, km, kWh, kWh - Green (Grid), kWh - Green (Generated)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All: kWh · except Steam: tonnes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All: kWh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All: tonnes · except Water Supply: m3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All: tonnes · except Water Treatment: m3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Cars: miles/litres/km (Car-Electric also kWh) · Bus/Rail/Ferry/Plane/Taxis: km · Motorbike/Cycling/Walking: miles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Cars: miles/litres/km (Car-Electric also kWh) · Bus/Rail/Ferry/Plane/Taxis: km · Motorbike/Cycling/Walking: miles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CES</author>
  </authors>
  <commentList>
    <comment ref="E2" authorId="0">
      <text>
        <r>
          <rPr>
            <sz val="10"/>
            <rFont val="Arial"/>
            <family val="2"/>
          </rPr>
          <t xml:space="preserve">Accepted units — Set the unit for each line — e.g. £ spend, tonnes, m3, kWh, km</t>
        </r>
      </text>
    </comment>
  </commentList>
</comments>
</file>

<file path=xl/sharedStrings.xml><?xml version="1.0" encoding="utf-8"?>
<sst xmlns="http://schemas.openxmlformats.org/spreadsheetml/2006/main" count="980" uniqueCount="241">
  <si>
    <t xml:space="preserve">January</t>
  </si>
  <si>
    <t xml:space="preserve">United Kingdom</t>
  </si>
  <si>
    <t xml:space="preserve">Carbon — Multi-Sheet Mass Upload File</t>
  </si>
  <si>
    <t xml:space="preserve">February</t>
  </si>
  <si>
    <t xml:space="preserve">Ireland</t>
  </si>
  <si>
    <t xml:space="preserve">Scope 1, 2 &amp; 3 activity-data collection · GHG Protocol aligned</t>
  </si>
  <si>
    <t xml:space="preserve">March</t>
  </si>
  <si>
    <t xml:space="preserve">France</t>
  </si>
  <si>
    <t xml:space="preserve">April</t>
  </si>
  <si>
    <t xml:space="preserve">Germany</t>
  </si>
  <si>
    <t xml:space="preserve">May</t>
  </si>
  <si>
    <t xml:space="preserve">Spain</t>
  </si>
  <si>
    <t xml:space="preserve">Reporting period</t>
  </si>
  <si>
    <t xml:space="preserve">June</t>
  </si>
  <si>
    <t xml:space="preserve">Italy</t>
  </si>
  <si>
    <t xml:space="preserve">Start month:</t>
  </si>
  <si>
    <t xml:space="preserve">Start year:</t>
  </si>
  <si>
    <t xml:space="preserve">July</t>
  </si>
  <si>
    <t xml:space="preserve">Netherlands</t>
  </si>
  <si>
    <t xml:space="preserve">Reporting start:</t>
  </si>
  <si>
    <t xml:space="preserve">Reporting end:</t>
  </si>
  <si>
    <t xml:space="preserve">August</t>
  </si>
  <si>
    <t xml:space="preserve">Belgium</t>
  </si>
  <si>
    <t xml:space="preserve">Country of operation:</t>
  </si>
  <si>
    <t xml:space="preserve">File owner:</t>
  </si>
  <si>
    <t xml:space="preserve">September</t>
  </si>
  <si>
    <t xml:space="preserve">Portugal</t>
  </si>
  <si>
    <t xml:space="preserve">October</t>
  </si>
  <si>
    <t xml:space="preserve">Poland</t>
  </si>
  <si>
    <t xml:space="preserve">How to use this file</t>
  </si>
  <si>
    <t xml:space="preserve">November</t>
  </si>
  <si>
    <t xml:space="preserve">Sweden</t>
  </si>
  <si>
    <t xml:space="preserve">1.</t>
  </si>
  <si>
    <t xml:space="preserve">Set the reporting period above — choose the start month and year of your 12-month reporting period. All monthly columns update automatically.</t>
  </si>
  <si>
    <t xml:space="preserve">December</t>
  </si>
  <si>
    <t xml:space="preserve">Norway</t>
  </si>
  <si>
    <t xml:space="preserve">2.</t>
  </si>
  <si>
    <t xml:space="preserve">Set your country of operation and the file owner.</t>
  </si>
  <si>
    <t xml:space="preserve">Denmark</t>
  </si>
  <si>
    <t xml:space="preserve">3.</t>
  </si>
  <si>
    <t xml:space="preserve">Review the input sheets below and the cell colour key so you know which data goes where.</t>
  </si>
  <si>
    <t xml:space="preserve">Switzerland</t>
  </si>
  <si>
    <t xml:space="preserve">4.</t>
  </si>
  <si>
    <t xml:space="preserve">Company sheet — fill the monthly columns (N–Y) for each metric that applies. Add Custom 1–3 for your own intensity metrics.</t>
  </si>
  <si>
    <t xml:space="preserve">Austria</t>
  </si>
  <si>
    <t xml:space="preserve">5.</t>
  </si>
  <si>
    <t xml:space="preserve">Scope/category sheets — add data for the scopes and categories that apply. Set the Unit for each line (accepted units are shown as a note on the Unit header). Enter monthly activity data in columns N–Y. Delete rows you don't use.</t>
  </si>
  <si>
    <t xml:space="preserve">United States</t>
  </si>
  <si>
    <t xml:space="preserve">6.</t>
  </si>
  <si>
    <t xml:space="preserve">Custom line items — for Scope 3, add 'Custom' in column A, complete Sub-category and Unit, and enter a conversion factor (kg CO₂e/unit) in the CO2/unit column.</t>
  </si>
  <si>
    <t xml:space="preserve">Canada</t>
  </si>
  <si>
    <t xml:space="preserve">Best practice: fill all monthly cells (use 0 rather than blank); do not add, move or delete columns; optional notes go in column Z and are not imported.</t>
  </si>
  <si>
    <t xml:space="preserve">Australia</t>
  </si>
  <si>
    <t xml:space="preserve">New Zealand</t>
  </si>
  <si>
    <t xml:space="preserve">Input sheets</t>
  </si>
  <si>
    <t xml:space="preserve">Title</t>
  </si>
  <si>
    <t xml:space="preserve">Description</t>
  </si>
  <si>
    <t xml:space="preserve">India</t>
  </si>
  <si>
    <t xml:space="preserve">Company</t>
  </si>
  <si>
    <t xml:space="preserve">Company Information</t>
  </si>
  <si>
    <t xml:space="preserve">Enter any company information you want used to calculate intensity metrics (turnover, employees, floor area, custom).</t>
  </si>
  <si>
    <t xml:space="preserve">China</t>
  </si>
  <si>
    <t xml:space="preserve">Scope 1</t>
  </si>
  <si>
    <t xml:space="preserve">Company Facilities — Energy &amp; Fuels</t>
  </si>
  <si>
    <t xml:space="preserve">All gas and fuels used by your company through stationary combustion on site and mobile combustion, plus fugitive emissions. Fleet data can alternatively go in Company Vehicles.</t>
  </si>
  <si>
    <t xml:space="preserve">Japan</t>
  </si>
  <si>
    <t xml:space="preserve">Company Vehicles</t>
  </si>
  <si>
    <t xml:space="preserve">Activity data for company vehicles — distance or fuel per vehicle, by fuel type/size. Fuel emissions count as Scope 1; electricity as Scope 2.</t>
  </si>
  <si>
    <t xml:space="preserve">Other</t>
  </si>
  <si>
    <t xml:space="preserve">Scope 2 - Purchased</t>
  </si>
  <si>
    <t xml:space="preserve">Purchased Energy</t>
  </si>
  <si>
    <t xml:space="preserve">Emissions from purchased electricity or steam. Accepted values: Electricity, Green Electricity or Steam.</t>
  </si>
  <si>
    <t xml:space="preserve">Scope 2 - Generated</t>
  </si>
  <si>
    <t xml:space="preserve">Generated Energy</t>
  </si>
  <si>
    <t xml:space="preserve">Self-generated electricity — solar PV, wind, biomass or other. Values in kWh.</t>
  </si>
  <si>
    <t xml:space="preserve">Scope 3 - Category 1</t>
  </si>
  <si>
    <t xml:space="preserve">Purchased Goods &amp; Services</t>
  </si>
  <si>
    <t xml:space="preserve">Emissions from producing the goods/services you buy. Spend-based or, ideally, product-level factors; some materials and water supply have built-in factors.</t>
  </si>
  <si>
    <t xml:space="preserve">Scope 3 - Category 2</t>
  </si>
  <si>
    <t xml:space="preserve">Capital Goods</t>
  </si>
  <si>
    <t xml:space="preserve">Production of long-term assets (buildings, machinery) capitalised on the balance sheet.</t>
  </si>
  <si>
    <t xml:space="preserve">Scope 3 - Category 3</t>
  </si>
  <si>
    <t xml:space="preserve">Fuel &amp; Energy Related Activities</t>
  </si>
  <si>
    <t xml:space="preserve">Extraction, production and transport of fuels/energy. Well-to-tank (WTT) for electricity and fuels; T&amp;D losses are calculated automatically.</t>
  </si>
  <si>
    <t xml:space="preserve">Scope 3 - Category 4</t>
  </si>
  <si>
    <t xml:space="preserve">Upstream Transport &amp; Distribution</t>
  </si>
  <si>
    <t xml:space="preserve">Transporting goods from your suppliers to your premises.</t>
  </si>
  <si>
    <t xml:space="preserve">Scope 3 - Category 5</t>
  </si>
  <si>
    <t xml:space="preserve">Waste</t>
  </si>
  <si>
    <t xml:space="preserve">Handling and disposal of your waste — usually from your waste handler's transfer notices.</t>
  </si>
  <si>
    <t xml:space="preserve">Scope 3 - Category 6</t>
  </si>
  <si>
    <t xml:space="preserve">Business Travel</t>
  </si>
  <si>
    <t xml:space="preserve">Employee travel on business. Public transport in km; private modes in miles/km or litres; EVs in kWh. Owned/leased vehicles go in Scope 1/2.</t>
  </si>
  <si>
    <t xml:space="preserve">Scope 3 - Category 7</t>
  </si>
  <si>
    <t xml:space="preserve">Employee Commuting</t>
  </si>
  <si>
    <t xml:space="preserve">Employee travel to their regular workplace. Same unit rules as Business Travel.</t>
  </si>
  <si>
    <t xml:space="preserve">Scope 3 - Category 8</t>
  </si>
  <si>
    <t xml:space="preserve">Upstream Leased Assets</t>
  </si>
  <si>
    <t xml:space="preserve">Assets you lease but do not operationally control (otherwise report in Scope 1 &amp; 2).</t>
  </si>
  <si>
    <t xml:space="preserve">Scope 3 - Category 9</t>
  </si>
  <si>
    <t xml:space="preserve">Downstream Transport &amp; Distribution</t>
  </si>
  <si>
    <t xml:space="preserve">Transporting goods to your customers from your premises.</t>
  </si>
  <si>
    <t xml:space="preserve">Scope 3 - Category 10</t>
  </si>
  <si>
    <t xml:space="preserve">Processing of Sold Products</t>
  </si>
  <si>
    <t xml:space="preserve">Further processing of your products by your customers.</t>
  </si>
  <si>
    <t xml:space="preserve">Scope 3 - Category 11</t>
  </si>
  <si>
    <t xml:space="preserve">Use of Sold Products</t>
  </si>
  <si>
    <t xml:space="preserve">Emissions from customers using your products.</t>
  </si>
  <si>
    <t xml:space="preserve">Scope 3 - Category 12</t>
  </si>
  <si>
    <t xml:space="preserve">End-of-Life Treatment of Sold Products</t>
  </si>
  <si>
    <t xml:space="preserve">Disposal of your products at end of life.</t>
  </si>
  <si>
    <t xml:space="preserve">Scope 3 - Category 13</t>
  </si>
  <si>
    <t xml:space="preserve">Downstream Leased Assets</t>
  </si>
  <si>
    <t xml:space="preserve">Leased assets you own but do not operationally control.</t>
  </si>
  <si>
    <t xml:space="preserve">Scope 3 - Category 14</t>
  </si>
  <si>
    <t xml:space="preserve">Franchises</t>
  </si>
  <si>
    <t xml:space="preserve">Emissions from franchise operations run under your brand but independently owned.</t>
  </si>
  <si>
    <t xml:space="preserve">Scope 3 - Category 15</t>
  </si>
  <si>
    <t xml:space="preserve">Investments</t>
  </si>
  <si>
    <t xml:space="preserve">Emissions from investments you hold — equity, debt or partnerships.</t>
  </si>
  <si>
    <t xml:space="preserve">Cell colour key (input sheets)</t>
  </si>
  <si>
    <t xml:space="preserve">Background / structure — do not edit</t>
  </si>
  <si>
    <t xml:space="preserve">Text input fields</t>
  </si>
  <si>
    <t xml:space="preserve">Numerical input fields (monthly N–Y)</t>
  </si>
  <si>
    <t xml:space="preserve">Auto-populated month headers (driven by the reporting period)</t>
  </si>
  <si>
    <t xml:space="preserve">Field name / label</t>
  </si>
  <si>
    <t xml:space="preserve">Pre-filled catalogue rows — edit units &amp; values, delete unused</t>
  </si>
  <si>
    <t xml:space="preserve">CES Carbon · Multi-Sheet Mass Upload File</t>
  </si>
  <si>
    <t xml:space="preserve">Version 1.0 · Commercial Energy Solutions · support: carbon@cesgb.com</t>
  </si>
  <si>
    <t xml:space="preserve">Definition (custom rows)</t>
  </si>
  <si>
    <t xml:space="preserve">Notes / guidance</t>
  </si>
  <si>
    <t xml:space="preserve">Turnover</t>
  </si>
  <si>
    <t xml:space="preserve">Total annual revenue split per month, e.g. £1,000,000/month</t>
  </si>
  <si>
    <t xml:space="preserve">Employees</t>
  </si>
  <si>
    <t xml:space="preserve">Headcount per month</t>
  </si>
  <si>
    <t xml:space="preserve">Office Space</t>
  </si>
  <si>
    <t xml:space="preserve">Floor area (m²) per month</t>
  </si>
  <si>
    <t xml:space="preserve">Production Space</t>
  </si>
  <si>
    <t xml:space="preserve">Custom 1</t>
  </si>
  <si>
    <t xml:space="preserve">eg. Paper 1</t>
  </si>
  <si>
    <t xml:space="preserve">Define your own metric in column B</t>
  </si>
  <si>
    <t xml:space="preserve">Custom 2</t>
  </si>
  <si>
    <t xml:space="preserve">eg. Paper 2</t>
  </si>
  <si>
    <t xml:space="preserve">Custom 3</t>
  </si>
  <si>
    <t xml:space="preserve">eg. Paper 3</t>
  </si>
  <si>
    <t xml:space="preserve">Category</t>
  </si>
  <si>
    <t xml:space="preserve">Company Facilities</t>
  </si>
  <si>
    <t xml:space="preserve">Energy</t>
  </si>
  <si>
    <t xml:space="preserve">Sub-category</t>
  </si>
  <si>
    <t xml:space="preserve">Type</t>
  </si>
  <si>
    <t xml:space="preserve">Sub-type</t>
  </si>
  <si>
    <t xml:space="preserve">Unit</t>
  </si>
  <si>
    <t xml:space="preserve">cost/unit</t>
  </si>
  <si>
    <t xml:space="preserve">Workplace (office/home)</t>
  </si>
  <si>
    <t xml:space="preserve">Meter Name</t>
  </si>
  <si>
    <t xml:space="preserve">Meter Number</t>
  </si>
  <si>
    <t xml:space="preserve">Notes</t>
  </si>
  <si>
    <t xml:space="preserve">Fuels</t>
  </si>
  <si>
    <t xml:space="preserve">Custom Name</t>
  </si>
  <si>
    <t xml:space="preserve">Carbon Factor</t>
  </si>
  <si>
    <t xml:space="preserve">Fuels - Gaseous</t>
  </si>
  <si>
    <t xml:space="preserve">LPG</t>
  </si>
  <si>
    <t xml:space="preserve">litres</t>
  </si>
  <si>
    <t xml:space="preserve">Propane</t>
  </si>
  <si>
    <t xml:space="preserve">Driver Name</t>
  </si>
  <si>
    <t xml:space="preserve">Registration</t>
  </si>
  <si>
    <t xml:space="preserve">Is Reporting</t>
  </si>
  <si>
    <t xml:space="preserve">Cars</t>
  </si>
  <si>
    <t xml:space="preserve">Car - Petrol</t>
  </si>
  <si>
    <t xml:space="preserve">Small</t>
  </si>
  <si>
    <t xml:space="preserve">Yes</t>
  </si>
  <si>
    <t xml:space="preserve">Medium</t>
  </si>
  <si>
    <t xml:space="preserve">Large</t>
  </si>
  <si>
    <t xml:space="preserve">Average</t>
  </si>
  <si>
    <t xml:space="preserve">Car - Average</t>
  </si>
  <si>
    <t xml:space="preserve">Car - Diesel</t>
  </si>
  <si>
    <t xml:space="preserve">Car - Hybrid</t>
  </si>
  <si>
    <t xml:space="preserve">Car - Electric</t>
  </si>
  <si>
    <t xml:space="preserve">Vans</t>
  </si>
  <si>
    <t xml:space="preserve">Class 1</t>
  </si>
  <si>
    <t xml:space="preserve">Class 2</t>
  </si>
  <si>
    <t xml:space="preserve">Class 3</t>
  </si>
  <si>
    <t xml:space="preserve">Trucks</t>
  </si>
  <si>
    <t xml:space="preserve">HGV</t>
  </si>
  <si>
    <t xml:space="preserve">Rigid 3.5 - 7.5</t>
  </si>
  <si>
    <t xml:space="preserve">Rigid 7.5 - 17</t>
  </si>
  <si>
    <t xml:space="preserve">Rigid &gt; 17.5</t>
  </si>
  <si>
    <t xml:space="preserve">HGV - Refrigerated</t>
  </si>
  <si>
    <t xml:space="preserve">Electricity</t>
  </si>
  <si>
    <t xml:space="preserve">Grid</t>
  </si>
  <si>
    <t xml:space="preserve">office</t>
  </si>
  <si>
    <t xml:space="preserve">Green Electricity</t>
  </si>
  <si>
    <t xml:space="preserve">PV</t>
  </si>
  <si>
    <t xml:space="preserve">Wind</t>
  </si>
  <si>
    <t xml:space="preserve">Bio</t>
  </si>
  <si>
    <t xml:space="preserve">Steam</t>
  </si>
  <si>
    <t xml:space="preserve">Generated Electricity</t>
  </si>
  <si>
    <t xml:space="preserve">Detailed Carbon</t>
  </si>
  <si>
    <t xml:space="preserve">CO2/unit kg</t>
  </si>
  <si>
    <t xml:space="preserve">Water Supply</t>
  </si>
  <si>
    <t xml:space="preserve">m3</t>
  </si>
  <si>
    <t xml:space="preserve">Material Used</t>
  </si>
  <si>
    <t xml:space="preserve">Average Construction</t>
  </si>
  <si>
    <t xml:space="preserve">tonnes</t>
  </si>
  <si>
    <t xml:space="preserve">WEEE Mixed</t>
  </si>
  <si>
    <t xml:space="preserve">Batteries</t>
  </si>
  <si>
    <t xml:space="preserve">Scrap Metal</t>
  </si>
  <si>
    <t xml:space="preserve">Average Plastics</t>
  </si>
  <si>
    <t xml:space="preserve">Paper &amp; Board Mixed</t>
  </si>
  <si>
    <t xml:space="preserve">Upstream Transportation &amp; Distribution</t>
  </si>
  <si>
    <t xml:space="preserve">Waste Generated from Operations</t>
  </si>
  <si>
    <t xml:space="preserve">Waste Disposal</t>
  </si>
  <si>
    <t xml:space="preserve">Household</t>
  </si>
  <si>
    <t xml:space="preserve">Commercial &amp; Industrial</t>
  </si>
  <si>
    <t xml:space="preserve">Water Treatment</t>
  </si>
  <si>
    <t xml:space="preserve">Taxis</t>
  </si>
  <si>
    <t xml:space="preserve">Regular</t>
  </si>
  <si>
    <t xml:space="preserve">Black</t>
  </si>
  <si>
    <t xml:space="preserve">Rail</t>
  </si>
  <si>
    <t xml:space="preserve">National</t>
  </si>
  <si>
    <t xml:space="preserve">International</t>
  </si>
  <si>
    <t xml:space="preserve">Light/Tram</t>
  </si>
  <si>
    <t xml:space="preserve">London Underground</t>
  </si>
  <si>
    <t xml:space="preserve">Ferry</t>
  </si>
  <si>
    <t xml:space="preserve">Foot Passenger</t>
  </si>
  <si>
    <t xml:space="preserve">Car Passenger</t>
  </si>
  <si>
    <t xml:space="preserve">Motorbike</t>
  </si>
  <si>
    <t xml:space="preserve">Plane</t>
  </si>
  <si>
    <t xml:space="preserve">Domestic</t>
  </si>
  <si>
    <t xml:space="preserve">Short Haul</t>
  </si>
  <si>
    <t xml:space="preserve">Economy</t>
  </si>
  <si>
    <t xml:space="preserve">Business</t>
  </si>
  <si>
    <t xml:space="preserve">Long Haul</t>
  </si>
  <si>
    <t xml:space="preserve">Premium Economy</t>
  </si>
  <si>
    <t xml:space="preserve">First</t>
  </si>
  <si>
    <t xml:space="preserve">Bus</t>
  </si>
  <si>
    <t xml:space="preserve">Local Bus</t>
  </si>
  <si>
    <t xml:space="preserve">Local Bus (London)</t>
  </si>
  <si>
    <t xml:space="preserve">Walking</t>
  </si>
  <si>
    <t xml:space="preserve">Cycling</t>
  </si>
  <si>
    <t xml:space="preserve">Downstream Transportation &amp; Distribution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</si>
</sst>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m\ yyyy"/>
    <numFmt numFmtId="166" formatCode="mmm\ 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2F3D7E"/>
      <name val="Arial"/>
      <family val="0"/>
      <charset val="1"/>
    </font>
    <font>
      <sz val="11"/>
      <color rgb="FF7A7E8C"/>
      <name val="Arial"/>
      <family val="0"/>
      <charset val="1"/>
    </font>
    <font>
      <b val="true"/>
      <sz val="12"/>
      <color rgb="FF2F3D7E"/>
      <name val="Arial"/>
      <family val="0"/>
      <charset val="1"/>
    </font>
    <font>
      <b val="true"/>
      <sz val="10"/>
      <color rgb="FF1C1F2A"/>
      <name val="Arial"/>
      <family val="0"/>
      <charset val="1"/>
    </font>
    <font>
      <b val="true"/>
      <sz val="10"/>
      <color rgb="FF2F3D7E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1C1F2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2F3D7E"/>
      <name val="Arial"/>
      <family val="0"/>
      <charset val="1"/>
    </font>
    <font>
      <sz val="9"/>
      <color rgb="FF1C1F2A"/>
      <name val="Arial"/>
      <family val="0"/>
      <charset val="1"/>
    </font>
    <font>
      <sz val="9"/>
      <color rgb="FF7A7E8C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7A7E8C"/>
      <name val="Arial"/>
      <family val="0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93C43A"/>
        <bgColor rgb="FF969696"/>
      </patternFill>
    </fill>
    <fill>
      <patternFill patternType="solid">
        <fgColor rgb="FFFFFDF5"/>
        <bgColor rgb="FFFFFFFF"/>
      </patternFill>
    </fill>
    <fill>
      <patternFill patternType="solid">
        <fgColor rgb="FFEDEFF6"/>
        <bgColor rgb="FFF2F0EA"/>
      </patternFill>
    </fill>
    <fill>
      <patternFill patternType="solid">
        <fgColor rgb="FF2F3D7E"/>
        <bgColor rgb="FF1E2A5E"/>
      </patternFill>
    </fill>
    <fill>
      <patternFill patternType="solid">
        <fgColor rgb="FFE6E1D6"/>
        <bgColor rgb="FFDDDAD0"/>
      </patternFill>
    </fill>
    <fill>
      <patternFill patternType="solid">
        <fgColor rgb="FFFFFFFF"/>
        <bgColor rgb="FFFFFDF5"/>
      </patternFill>
    </fill>
    <fill>
      <patternFill patternType="solid">
        <fgColor rgb="FFF2F0EA"/>
        <bgColor rgb="FFEDEFF6"/>
      </patternFill>
    </fill>
    <fill>
      <patternFill patternType="solid">
        <fgColor rgb="FFE1F5EE"/>
        <bgColor rgb="FFEDEFF6"/>
      </patternFill>
    </fill>
    <fill>
      <patternFill patternType="solid">
        <fgColor rgb="FF1E2A5E"/>
        <bgColor rgb="FF1C1F2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AD0"/>
      </left>
      <right style="thin">
        <color rgb="FFDDDAD0"/>
      </right>
      <top style="thin">
        <color rgb="FFDDDAD0"/>
      </top>
      <bottom style="thin">
        <color rgb="FFDDDA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E8C"/>
      <rgbColor rgb="FF9999FF"/>
      <rgbColor rgb="FF993366"/>
      <rgbColor rgb="FFFFFDF5"/>
      <rgbColor rgb="FFE1F5EE"/>
      <rgbColor rgb="FF660066"/>
      <rgbColor rgb="FFFF8080"/>
      <rgbColor rgb="FF0066CC"/>
      <rgbColor rgb="FFDDDA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FF6"/>
      <rgbColor rgb="FFF2F0EA"/>
      <rgbColor rgb="FFFFFF99"/>
      <rgbColor rgb="FF99CCFF"/>
      <rgbColor rgb="FFFF99CC"/>
      <rgbColor rgb="FFCC99FF"/>
      <rgbColor rgb="FFE6E1D6"/>
      <rgbColor rgb="FF3366FF"/>
      <rgbColor rgb="FF33CCCC"/>
      <rgbColor rgb="FF93C43A"/>
      <rgbColor rgb="FFFFCC00"/>
      <rgbColor rgb="FFFF9900"/>
      <rgbColor rgb="FFFF6600"/>
      <rgbColor rgb="FF666699"/>
      <rgbColor rgb="FF969696"/>
      <rgbColor rgb="FF1E2A5E"/>
      <rgbColor rgb="FF339966"/>
      <rgbColor rgb="FF003300"/>
      <rgbColor rgb="FF333300"/>
      <rgbColor rgb="FF993300"/>
      <rgbColor rgb="FF993366"/>
      <rgbColor rgb="FF2F3D7E"/>
      <rgbColor rgb="FF1C1F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315720</xdr:colOff>
      <xdr:row>1</xdr:row>
      <xdr:rowOff>685440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176400" y="190440"/>
          <a:ext cx="1866600" cy="6854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6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7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8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9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0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1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2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3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4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5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6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7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8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9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C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22"/>
    <col collapsed="false" customWidth="true" hidden="false" outlineLevel="0" max="3" min="3" style="0" width="20"/>
    <col collapsed="false" customWidth="true" hidden="false" outlineLevel="0" max="4" min="4" style="0" width="16"/>
    <col collapsed="false" customWidth="true" hidden="false" outlineLevel="0" max="7" min="5" style="0" width="14"/>
    <col collapsed="false" customWidth="true" hidden="false" outlineLevel="0" max="8" min="8" style="0" width="16"/>
    <col collapsed="false" customWidth="true" hidden="false" outlineLevel="0" max="10" min="9" style="0" width="40"/>
    <col collapsed="false" customWidth="true" hidden="true" outlineLevel="0" max="29" min="27" style="0" width="13"/>
  </cols>
  <sheetData>
    <row r="1" customFormat="false" ht="15" hidden="false" customHeight="false" outlineLevel="0" collapsed="false">
      <c r="AA1" s="0" t="s">
        <v>0</v>
      </c>
      <c r="AB1" s="0" t="n">
        <v>2022</v>
      </c>
      <c r="AC1" s="0" t="s">
        <v>1</v>
      </c>
    </row>
    <row r="2" customFormat="false" ht="57.75" hidden="false" customHeight="true" outlineLevel="0" collapsed="false">
      <c r="E2" s="1" t="s">
        <v>2</v>
      </c>
      <c r="AA2" s="0" t="s">
        <v>3</v>
      </c>
      <c r="AB2" s="0" t="n">
        <v>2023</v>
      </c>
      <c r="AC2" s="0" t="s">
        <v>4</v>
      </c>
    </row>
    <row r="3" customFormat="false" ht="15" hidden="false" customHeight="false" outlineLevel="0" collapsed="false">
      <c r="E3" s="2" t="s">
        <v>5</v>
      </c>
      <c r="AA3" s="0" t="s">
        <v>6</v>
      </c>
      <c r="AB3" s="0" t="n">
        <v>2024</v>
      </c>
      <c r="AC3" s="0" t="s">
        <v>7</v>
      </c>
    </row>
    <row r="4" customFormat="false" ht="15" hidden="false" customHeight="false" outlineLevel="0" collapsed="false">
      <c r="AA4" s="0" t="s">
        <v>8</v>
      </c>
      <c r="AB4" s="0" t="n">
        <v>2025</v>
      </c>
      <c r="AC4" s="0" t="s">
        <v>9</v>
      </c>
    </row>
    <row r="5" customFormat="false" ht="15" hidden="false" customHeight="false" outlineLevel="0" collapsed="false">
      <c r="AA5" s="0" t="s">
        <v>10</v>
      </c>
      <c r="AB5" s="0" t="n">
        <v>2026</v>
      </c>
      <c r="AC5" s="0" t="s">
        <v>11</v>
      </c>
    </row>
    <row r="6" customFormat="false" ht="15" hidden="false" customHeight="true" outlineLevel="0" collapsed="false">
      <c r="B6" s="3" t="s">
        <v>12</v>
      </c>
      <c r="C6" s="3"/>
      <c r="D6" s="3"/>
      <c r="E6" s="3"/>
      <c r="AA6" s="0" t="s">
        <v>13</v>
      </c>
      <c r="AB6" s="0" t="n">
        <v>2027</v>
      </c>
      <c r="AC6" s="0" t="s">
        <v>14</v>
      </c>
    </row>
    <row r="7" customFormat="false" ht="15" hidden="false" customHeight="false" outlineLevel="0" collapsed="false">
      <c r="B7" s="4" t="s">
        <v>15</v>
      </c>
      <c r="C7" s="5" t="s">
        <v>8</v>
      </c>
      <c r="D7" s="4" t="s">
        <v>16</v>
      </c>
      <c r="E7" s="5" t="n">
        <v>2025</v>
      </c>
      <c r="AA7" s="0" t="s">
        <v>17</v>
      </c>
      <c r="AB7" s="0" t="n">
        <v>2028</v>
      </c>
      <c r="AC7" s="0" t="s">
        <v>18</v>
      </c>
    </row>
    <row r="8" customFormat="false" ht="15" hidden="false" customHeight="false" outlineLevel="0" collapsed="false">
      <c r="B8" s="4" t="s">
        <v>19</v>
      </c>
      <c r="C8" s="6" t="n">
        <f aca="false">DATE(E7,MATCH(C7,$AA$1:$AA$12,0),1)</f>
        <v>45748</v>
      </c>
      <c r="D8" s="4" t="s">
        <v>20</v>
      </c>
      <c r="E8" s="6" t="n">
        <f aca="false">EDATE(C8,11)</f>
        <v>46082</v>
      </c>
      <c r="AA8" s="0" t="s">
        <v>21</v>
      </c>
      <c r="AB8" s="0" t="n">
        <v>2029</v>
      </c>
      <c r="AC8" s="0" t="s">
        <v>22</v>
      </c>
    </row>
    <row r="9" customFormat="false" ht="15" hidden="false" customHeight="false" outlineLevel="0" collapsed="false">
      <c r="B9" s="4" t="s">
        <v>23</v>
      </c>
      <c r="C9" s="7" t="s">
        <v>1</v>
      </c>
      <c r="D9" s="4" t="s">
        <v>24</v>
      </c>
      <c r="E9" s="8"/>
      <c r="AA9" s="0" t="s">
        <v>25</v>
      </c>
      <c r="AB9" s="0" t="n">
        <v>2030</v>
      </c>
      <c r="AC9" s="0" t="s">
        <v>26</v>
      </c>
    </row>
    <row r="10" customFormat="false" ht="15" hidden="false" customHeight="false" outlineLevel="0" collapsed="false">
      <c r="AA10" s="0" t="s">
        <v>27</v>
      </c>
      <c r="AC10" s="0" t="s">
        <v>28</v>
      </c>
    </row>
    <row r="11" customFormat="false" ht="15" hidden="false" customHeight="true" outlineLevel="0" collapsed="false">
      <c r="B11" s="9" t="s">
        <v>29</v>
      </c>
      <c r="C11" s="9"/>
      <c r="D11" s="9"/>
      <c r="E11" s="9"/>
      <c r="F11" s="9"/>
      <c r="G11" s="9"/>
      <c r="H11" s="9"/>
      <c r="I11" s="9"/>
      <c r="J11" s="9"/>
      <c r="AA11" s="0" t="s">
        <v>30</v>
      </c>
      <c r="AC11" s="0" t="s">
        <v>31</v>
      </c>
    </row>
    <row r="12" customFormat="false" ht="30" hidden="false" customHeight="true" outlineLevel="0" collapsed="false">
      <c r="B12" s="10" t="s">
        <v>32</v>
      </c>
      <c r="C12" s="11" t="s">
        <v>33</v>
      </c>
      <c r="D12" s="11"/>
      <c r="E12" s="11"/>
      <c r="F12" s="11"/>
      <c r="G12" s="11"/>
      <c r="H12" s="11"/>
      <c r="I12" s="11"/>
      <c r="J12" s="11"/>
      <c r="AA12" s="0" t="s">
        <v>34</v>
      </c>
      <c r="AC12" s="0" t="s">
        <v>35</v>
      </c>
    </row>
    <row r="13" customFormat="false" ht="30" hidden="false" customHeight="true" outlineLevel="0" collapsed="false">
      <c r="B13" s="10" t="s">
        <v>36</v>
      </c>
      <c r="C13" s="11" t="s">
        <v>37</v>
      </c>
      <c r="D13" s="11"/>
      <c r="E13" s="11"/>
      <c r="F13" s="11"/>
      <c r="G13" s="11"/>
      <c r="H13" s="11"/>
      <c r="I13" s="11"/>
      <c r="J13" s="11"/>
      <c r="AC13" s="0" t="s">
        <v>38</v>
      </c>
    </row>
    <row r="14" customFormat="false" ht="30" hidden="false" customHeight="true" outlineLevel="0" collapsed="false">
      <c r="B14" s="10" t="s">
        <v>39</v>
      </c>
      <c r="C14" s="11" t="s">
        <v>40</v>
      </c>
      <c r="D14" s="11"/>
      <c r="E14" s="11"/>
      <c r="F14" s="11"/>
      <c r="G14" s="11"/>
      <c r="H14" s="11"/>
      <c r="I14" s="11"/>
      <c r="J14" s="11"/>
      <c r="AC14" s="0" t="s">
        <v>41</v>
      </c>
    </row>
    <row r="15" customFormat="false" ht="30" hidden="false" customHeight="true" outlineLevel="0" collapsed="false">
      <c r="B15" s="10" t="s">
        <v>42</v>
      </c>
      <c r="C15" s="11" t="s">
        <v>43</v>
      </c>
      <c r="D15" s="11"/>
      <c r="E15" s="11"/>
      <c r="F15" s="11"/>
      <c r="G15" s="11"/>
      <c r="H15" s="11"/>
      <c r="I15" s="11"/>
      <c r="J15" s="11"/>
      <c r="AC15" s="0" t="s">
        <v>44</v>
      </c>
    </row>
    <row r="16" customFormat="false" ht="30" hidden="false" customHeight="true" outlineLevel="0" collapsed="false">
      <c r="B16" s="10" t="s">
        <v>45</v>
      </c>
      <c r="C16" s="11" t="s">
        <v>46</v>
      </c>
      <c r="D16" s="11"/>
      <c r="E16" s="11"/>
      <c r="F16" s="11"/>
      <c r="G16" s="11"/>
      <c r="H16" s="11"/>
      <c r="I16" s="11"/>
      <c r="J16" s="11"/>
      <c r="AC16" s="0" t="s">
        <v>47</v>
      </c>
    </row>
    <row r="17" customFormat="false" ht="30" hidden="false" customHeight="true" outlineLevel="0" collapsed="false">
      <c r="B17" s="10" t="s">
        <v>48</v>
      </c>
      <c r="C17" s="11" t="s">
        <v>49</v>
      </c>
      <c r="D17" s="11"/>
      <c r="E17" s="11"/>
      <c r="F17" s="11"/>
      <c r="G17" s="11"/>
      <c r="H17" s="11"/>
      <c r="I17" s="11"/>
      <c r="J17" s="11"/>
      <c r="AC17" s="0" t="s">
        <v>50</v>
      </c>
    </row>
    <row r="18" customFormat="false" ht="30" hidden="false" customHeight="true" outlineLevel="0" collapsed="false">
      <c r="B18" s="10"/>
      <c r="C18" s="11" t="s">
        <v>51</v>
      </c>
      <c r="D18" s="11"/>
      <c r="E18" s="11"/>
      <c r="F18" s="11"/>
      <c r="G18" s="11"/>
      <c r="H18" s="11"/>
      <c r="I18" s="11"/>
      <c r="J18" s="11"/>
      <c r="AC18" s="0" t="s">
        <v>52</v>
      </c>
    </row>
    <row r="19" customFormat="false" ht="15" hidden="false" customHeight="false" outlineLevel="0" collapsed="false">
      <c r="AC19" s="0" t="s">
        <v>53</v>
      </c>
    </row>
    <row r="20" customFormat="false" ht="15" hidden="false" customHeight="true" outlineLevel="0" collapsed="false">
      <c r="B20" s="9" t="s">
        <v>54</v>
      </c>
      <c r="C20" s="9"/>
      <c r="D20" s="9"/>
      <c r="E20" s="9"/>
      <c r="F20" s="12" t="s">
        <v>55</v>
      </c>
      <c r="G20" s="12"/>
      <c r="H20" s="12"/>
      <c r="I20" s="12" t="s">
        <v>56</v>
      </c>
      <c r="J20" s="12"/>
      <c r="AC20" s="0" t="s">
        <v>57</v>
      </c>
    </row>
    <row r="21" customFormat="false" ht="30" hidden="false" customHeight="true" outlineLevel="0" collapsed="false">
      <c r="B21" s="13" t="s">
        <v>58</v>
      </c>
      <c r="C21" s="13"/>
      <c r="D21" s="13"/>
      <c r="E21" s="13"/>
      <c r="F21" s="14" t="s">
        <v>59</v>
      </c>
      <c r="G21" s="14"/>
      <c r="H21" s="14"/>
      <c r="I21" s="14" t="s">
        <v>60</v>
      </c>
      <c r="J21" s="14"/>
      <c r="AC21" s="0" t="s">
        <v>61</v>
      </c>
    </row>
    <row r="22" customFormat="false" ht="30" hidden="false" customHeight="true" outlineLevel="0" collapsed="false">
      <c r="B22" s="13" t="s">
        <v>62</v>
      </c>
      <c r="C22" s="13"/>
      <c r="D22" s="13"/>
      <c r="E22" s="13"/>
      <c r="F22" s="14" t="s">
        <v>63</v>
      </c>
      <c r="G22" s="14"/>
      <c r="H22" s="14"/>
      <c r="I22" s="14" t="s">
        <v>64</v>
      </c>
      <c r="J22" s="14"/>
      <c r="AC22" s="0" t="s">
        <v>65</v>
      </c>
    </row>
    <row r="23" customFormat="false" ht="30" hidden="false" customHeight="true" outlineLevel="0" collapsed="false">
      <c r="B23" s="13" t="s">
        <v>66</v>
      </c>
      <c r="C23" s="13"/>
      <c r="D23" s="13"/>
      <c r="E23" s="13"/>
      <c r="F23" s="14" t="s">
        <v>66</v>
      </c>
      <c r="G23" s="14"/>
      <c r="H23" s="14"/>
      <c r="I23" s="14" t="s">
        <v>67</v>
      </c>
      <c r="J23" s="14"/>
      <c r="AC23" s="0" t="s">
        <v>68</v>
      </c>
    </row>
    <row r="24" customFormat="false" ht="30" hidden="false" customHeight="true" outlineLevel="0" collapsed="false">
      <c r="B24" s="13" t="s">
        <v>69</v>
      </c>
      <c r="C24" s="13"/>
      <c r="D24" s="13"/>
      <c r="E24" s="13"/>
      <c r="F24" s="14" t="s">
        <v>70</v>
      </c>
      <c r="G24" s="14"/>
      <c r="H24" s="14"/>
      <c r="I24" s="14" t="s">
        <v>71</v>
      </c>
      <c r="J24" s="14"/>
    </row>
    <row r="25" customFormat="false" ht="30" hidden="false" customHeight="true" outlineLevel="0" collapsed="false">
      <c r="B25" s="13" t="s">
        <v>72</v>
      </c>
      <c r="C25" s="13"/>
      <c r="D25" s="13"/>
      <c r="E25" s="13"/>
      <c r="F25" s="14" t="s">
        <v>73</v>
      </c>
      <c r="G25" s="14"/>
      <c r="H25" s="14"/>
      <c r="I25" s="14" t="s">
        <v>74</v>
      </c>
      <c r="J25" s="14"/>
    </row>
    <row r="26" customFormat="false" ht="30" hidden="false" customHeight="true" outlineLevel="0" collapsed="false">
      <c r="B26" s="13" t="s">
        <v>75</v>
      </c>
      <c r="C26" s="13"/>
      <c r="D26" s="13"/>
      <c r="E26" s="13"/>
      <c r="F26" s="14" t="s">
        <v>76</v>
      </c>
      <c r="G26" s="14"/>
      <c r="H26" s="14"/>
      <c r="I26" s="14" t="s">
        <v>77</v>
      </c>
      <c r="J26" s="14"/>
    </row>
    <row r="27" customFormat="false" ht="30" hidden="false" customHeight="true" outlineLevel="0" collapsed="false">
      <c r="B27" s="13" t="s">
        <v>78</v>
      </c>
      <c r="C27" s="13"/>
      <c r="D27" s="13"/>
      <c r="E27" s="13"/>
      <c r="F27" s="14" t="s">
        <v>79</v>
      </c>
      <c r="G27" s="14"/>
      <c r="H27" s="14"/>
      <c r="I27" s="14" t="s">
        <v>80</v>
      </c>
      <c r="J27" s="14"/>
    </row>
    <row r="28" customFormat="false" ht="30" hidden="false" customHeight="true" outlineLevel="0" collapsed="false">
      <c r="B28" s="13" t="s">
        <v>81</v>
      </c>
      <c r="C28" s="13"/>
      <c r="D28" s="13"/>
      <c r="E28" s="13"/>
      <c r="F28" s="14" t="s">
        <v>82</v>
      </c>
      <c r="G28" s="14"/>
      <c r="H28" s="14"/>
      <c r="I28" s="14" t="s">
        <v>83</v>
      </c>
      <c r="J28" s="14"/>
    </row>
    <row r="29" customFormat="false" ht="30" hidden="false" customHeight="true" outlineLevel="0" collapsed="false">
      <c r="B29" s="13" t="s">
        <v>84</v>
      </c>
      <c r="C29" s="13"/>
      <c r="D29" s="13"/>
      <c r="E29" s="13"/>
      <c r="F29" s="14" t="s">
        <v>85</v>
      </c>
      <c r="G29" s="14"/>
      <c r="H29" s="14"/>
      <c r="I29" s="14" t="s">
        <v>86</v>
      </c>
      <c r="J29" s="14"/>
    </row>
    <row r="30" customFormat="false" ht="30" hidden="false" customHeight="true" outlineLevel="0" collapsed="false">
      <c r="B30" s="13" t="s">
        <v>87</v>
      </c>
      <c r="C30" s="13"/>
      <c r="D30" s="13"/>
      <c r="E30" s="13"/>
      <c r="F30" s="14" t="s">
        <v>88</v>
      </c>
      <c r="G30" s="14"/>
      <c r="H30" s="14"/>
      <c r="I30" s="14" t="s">
        <v>89</v>
      </c>
      <c r="J30" s="14"/>
    </row>
    <row r="31" customFormat="false" ht="30" hidden="false" customHeight="true" outlineLevel="0" collapsed="false">
      <c r="B31" s="13" t="s">
        <v>90</v>
      </c>
      <c r="C31" s="13"/>
      <c r="D31" s="13"/>
      <c r="E31" s="13"/>
      <c r="F31" s="14" t="s">
        <v>91</v>
      </c>
      <c r="G31" s="14"/>
      <c r="H31" s="14"/>
      <c r="I31" s="14" t="s">
        <v>92</v>
      </c>
      <c r="J31" s="14"/>
    </row>
    <row r="32" customFormat="false" ht="30" hidden="false" customHeight="true" outlineLevel="0" collapsed="false">
      <c r="B32" s="13" t="s">
        <v>93</v>
      </c>
      <c r="C32" s="13"/>
      <c r="D32" s="13"/>
      <c r="E32" s="13"/>
      <c r="F32" s="14" t="s">
        <v>94</v>
      </c>
      <c r="G32" s="14"/>
      <c r="H32" s="14"/>
      <c r="I32" s="14" t="s">
        <v>95</v>
      </c>
      <c r="J32" s="14"/>
    </row>
    <row r="33" customFormat="false" ht="30" hidden="false" customHeight="true" outlineLevel="0" collapsed="false">
      <c r="B33" s="13" t="s">
        <v>96</v>
      </c>
      <c r="C33" s="13"/>
      <c r="D33" s="13"/>
      <c r="E33" s="13"/>
      <c r="F33" s="14" t="s">
        <v>97</v>
      </c>
      <c r="G33" s="14"/>
      <c r="H33" s="14"/>
      <c r="I33" s="14" t="s">
        <v>98</v>
      </c>
      <c r="J33" s="14"/>
    </row>
    <row r="34" customFormat="false" ht="30" hidden="false" customHeight="true" outlineLevel="0" collapsed="false">
      <c r="B34" s="13" t="s">
        <v>99</v>
      </c>
      <c r="C34" s="13"/>
      <c r="D34" s="13"/>
      <c r="E34" s="13"/>
      <c r="F34" s="14" t="s">
        <v>100</v>
      </c>
      <c r="G34" s="14"/>
      <c r="H34" s="14"/>
      <c r="I34" s="14" t="s">
        <v>101</v>
      </c>
      <c r="J34" s="14"/>
    </row>
    <row r="35" customFormat="false" ht="30" hidden="false" customHeight="true" outlineLevel="0" collapsed="false">
      <c r="B35" s="13" t="s">
        <v>102</v>
      </c>
      <c r="C35" s="13"/>
      <c r="D35" s="13"/>
      <c r="E35" s="13"/>
      <c r="F35" s="14" t="s">
        <v>103</v>
      </c>
      <c r="G35" s="14"/>
      <c r="H35" s="14"/>
      <c r="I35" s="14" t="s">
        <v>104</v>
      </c>
      <c r="J35" s="14"/>
    </row>
    <row r="36" customFormat="false" ht="30" hidden="false" customHeight="true" outlineLevel="0" collapsed="false">
      <c r="B36" s="13" t="s">
        <v>105</v>
      </c>
      <c r="C36" s="13"/>
      <c r="D36" s="13"/>
      <c r="E36" s="13"/>
      <c r="F36" s="14" t="s">
        <v>106</v>
      </c>
      <c r="G36" s="14"/>
      <c r="H36" s="14"/>
      <c r="I36" s="14" t="s">
        <v>107</v>
      </c>
      <c r="J36" s="14"/>
    </row>
    <row r="37" customFormat="false" ht="30" hidden="false" customHeight="true" outlineLevel="0" collapsed="false">
      <c r="B37" s="13" t="s">
        <v>108</v>
      </c>
      <c r="C37" s="13"/>
      <c r="D37" s="13"/>
      <c r="E37" s="13"/>
      <c r="F37" s="14" t="s">
        <v>109</v>
      </c>
      <c r="G37" s="14"/>
      <c r="H37" s="14"/>
      <c r="I37" s="14" t="s">
        <v>110</v>
      </c>
      <c r="J37" s="14"/>
    </row>
    <row r="38" customFormat="false" ht="30" hidden="false" customHeight="true" outlineLevel="0" collapsed="false">
      <c r="B38" s="13" t="s">
        <v>111</v>
      </c>
      <c r="C38" s="13"/>
      <c r="D38" s="13"/>
      <c r="E38" s="13"/>
      <c r="F38" s="14" t="s">
        <v>112</v>
      </c>
      <c r="G38" s="14"/>
      <c r="H38" s="14"/>
      <c r="I38" s="14" t="s">
        <v>113</v>
      </c>
      <c r="J38" s="14"/>
    </row>
    <row r="39" customFormat="false" ht="30" hidden="false" customHeight="true" outlineLevel="0" collapsed="false">
      <c r="B39" s="13" t="s">
        <v>114</v>
      </c>
      <c r="C39" s="13"/>
      <c r="D39" s="13"/>
      <c r="E39" s="13"/>
      <c r="F39" s="14" t="s">
        <v>115</v>
      </c>
      <c r="G39" s="14"/>
      <c r="H39" s="14"/>
      <c r="I39" s="14" t="s">
        <v>116</v>
      </c>
      <c r="J39" s="14"/>
    </row>
    <row r="40" customFormat="false" ht="30" hidden="false" customHeight="true" outlineLevel="0" collapsed="false">
      <c r="B40" s="13" t="s">
        <v>117</v>
      </c>
      <c r="C40" s="13"/>
      <c r="D40" s="13"/>
      <c r="E40" s="13"/>
      <c r="F40" s="14" t="s">
        <v>118</v>
      </c>
      <c r="G40" s="14"/>
      <c r="H40" s="14"/>
      <c r="I40" s="14" t="s">
        <v>119</v>
      </c>
      <c r="J40" s="14"/>
    </row>
    <row r="42" customFormat="false" ht="15" hidden="false" customHeight="true" outlineLevel="0" collapsed="false">
      <c r="B42" s="3" t="s">
        <v>120</v>
      </c>
      <c r="C42" s="3"/>
      <c r="D42" s="3"/>
      <c r="E42" s="3"/>
    </row>
    <row r="43" customFormat="false" ht="15" hidden="false" customHeight="true" outlineLevel="0" collapsed="false">
      <c r="B43" s="15"/>
      <c r="C43" s="16" t="s">
        <v>121</v>
      </c>
      <c r="D43" s="16"/>
      <c r="E43" s="16"/>
      <c r="F43" s="16"/>
      <c r="G43" s="16"/>
      <c r="H43" s="16"/>
      <c r="I43" s="16"/>
      <c r="J43" s="16"/>
    </row>
    <row r="44" customFormat="false" ht="15" hidden="false" customHeight="true" outlineLevel="0" collapsed="false">
      <c r="B44" s="8"/>
      <c r="C44" s="16" t="s">
        <v>122</v>
      </c>
      <c r="D44" s="16"/>
      <c r="E44" s="16"/>
      <c r="F44" s="16"/>
      <c r="G44" s="16"/>
      <c r="H44" s="16"/>
      <c r="I44" s="16"/>
      <c r="J44" s="16"/>
    </row>
    <row r="45" customFormat="false" ht="15" hidden="false" customHeight="true" outlineLevel="0" collapsed="false">
      <c r="B45" s="17"/>
      <c r="C45" s="16" t="s">
        <v>123</v>
      </c>
      <c r="D45" s="16"/>
      <c r="E45" s="16"/>
      <c r="F45" s="16"/>
      <c r="G45" s="16"/>
      <c r="H45" s="16"/>
      <c r="I45" s="16"/>
      <c r="J45" s="16"/>
    </row>
    <row r="46" customFormat="false" ht="15" hidden="false" customHeight="true" outlineLevel="0" collapsed="false">
      <c r="B46" s="18"/>
      <c r="C46" s="16" t="s">
        <v>124</v>
      </c>
      <c r="D46" s="16"/>
      <c r="E46" s="16"/>
      <c r="F46" s="16"/>
      <c r="G46" s="16"/>
      <c r="H46" s="16"/>
      <c r="I46" s="16"/>
      <c r="J46" s="16"/>
    </row>
    <row r="47" customFormat="false" ht="15" hidden="false" customHeight="true" outlineLevel="0" collapsed="false">
      <c r="B47" s="19"/>
      <c r="C47" s="16" t="s">
        <v>125</v>
      </c>
      <c r="D47" s="16"/>
      <c r="E47" s="16"/>
      <c r="F47" s="16"/>
      <c r="G47" s="16"/>
      <c r="H47" s="16"/>
      <c r="I47" s="16"/>
      <c r="J47" s="16"/>
    </row>
    <row r="48" customFormat="false" ht="15" hidden="false" customHeight="true" outlineLevel="0" collapsed="false">
      <c r="B48" s="20"/>
      <c r="C48" s="16" t="s">
        <v>126</v>
      </c>
      <c r="D48" s="16"/>
      <c r="E48" s="16"/>
      <c r="F48" s="16"/>
      <c r="G48" s="16"/>
      <c r="H48" s="16"/>
      <c r="I48" s="16"/>
      <c r="J48" s="16"/>
    </row>
    <row r="50" customFormat="false" ht="15" hidden="false" customHeight="false" outlineLevel="0" collapsed="false">
      <c r="B50" s="21" t="s">
        <v>127</v>
      </c>
    </row>
    <row r="51" customFormat="false" ht="15" hidden="false" customHeight="false" outlineLevel="0" collapsed="false">
      <c r="B51" s="22" t="s">
        <v>128</v>
      </c>
    </row>
  </sheetData>
  <mergeCells count="79">
    <mergeCell ref="B6:E6"/>
    <mergeCell ref="B11:J11"/>
    <mergeCell ref="C12:J12"/>
    <mergeCell ref="C13:J13"/>
    <mergeCell ref="C14:J14"/>
    <mergeCell ref="C15:J15"/>
    <mergeCell ref="C16:J16"/>
    <mergeCell ref="C17:J17"/>
    <mergeCell ref="C18:J18"/>
    <mergeCell ref="B20:E20"/>
    <mergeCell ref="F20:H20"/>
    <mergeCell ref="I20:J20"/>
    <mergeCell ref="B21:E21"/>
    <mergeCell ref="F21:H21"/>
    <mergeCell ref="I21:J21"/>
    <mergeCell ref="B22:E22"/>
    <mergeCell ref="F22:H22"/>
    <mergeCell ref="I22:J22"/>
    <mergeCell ref="B23:E23"/>
    <mergeCell ref="F23:H23"/>
    <mergeCell ref="I23:J23"/>
    <mergeCell ref="B24:E24"/>
    <mergeCell ref="F24:H24"/>
    <mergeCell ref="I24:J24"/>
    <mergeCell ref="B25:E25"/>
    <mergeCell ref="F25:H25"/>
    <mergeCell ref="I25:J25"/>
    <mergeCell ref="B26:E26"/>
    <mergeCell ref="F26:H26"/>
    <mergeCell ref="I26:J26"/>
    <mergeCell ref="B27:E27"/>
    <mergeCell ref="F27:H27"/>
    <mergeCell ref="I27:J27"/>
    <mergeCell ref="B28:E28"/>
    <mergeCell ref="F28:H28"/>
    <mergeCell ref="I28:J28"/>
    <mergeCell ref="B29:E29"/>
    <mergeCell ref="F29:H29"/>
    <mergeCell ref="I29:J29"/>
    <mergeCell ref="B30:E30"/>
    <mergeCell ref="F30:H30"/>
    <mergeCell ref="I30:J30"/>
    <mergeCell ref="B31:E31"/>
    <mergeCell ref="F31:H31"/>
    <mergeCell ref="I31:J31"/>
    <mergeCell ref="B32:E32"/>
    <mergeCell ref="F32:H32"/>
    <mergeCell ref="I32:J32"/>
    <mergeCell ref="B33:E33"/>
    <mergeCell ref="F33:H33"/>
    <mergeCell ref="I33:J33"/>
    <mergeCell ref="B34:E34"/>
    <mergeCell ref="F34:H34"/>
    <mergeCell ref="I34:J34"/>
    <mergeCell ref="B35:E35"/>
    <mergeCell ref="F35:H35"/>
    <mergeCell ref="I35:J35"/>
    <mergeCell ref="B36:E36"/>
    <mergeCell ref="F36:H36"/>
    <mergeCell ref="I36:J36"/>
    <mergeCell ref="B37:E37"/>
    <mergeCell ref="F37:H37"/>
    <mergeCell ref="I37:J37"/>
    <mergeCell ref="B38:E38"/>
    <mergeCell ref="F38:H38"/>
    <mergeCell ref="I38:J38"/>
    <mergeCell ref="B39:E39"/>
    <mergeCell ref="F39:H39"/>
    <mergeCell ref="I39:J39"/>
    <mergeCell ref="B40:E40"/>
    <mergeCell ref="F40:H40"/>
    <mergeCell ref="I40:J40"/>
    <mergeCell ref="B42:E42"/>
    <mergeCell ref="C43:J43"/>
    <mergeCell ref="C44:J44"/>
    <mergeCell ref="C45:J45"/>
    <mergeCell ref="C46:J46"/>
    <mergeCell ref="C47:J47"/>
    <mergeCell ref="C48:J48"/>
  </mergeCells>
  <dataValidations count="3">
    <dataValidation allowBlank="false" errorStyle="stop" operator="between" showDropDown="false" showErrorMessage="false" showInputMessage="false" sqref="C7" type="list">
      <formula1>$AA$1:$AA$12</formula1>
      <formula2>0</formula2>
    </dataValidation>
    <dataValidation allowBlank="false" errorStyle="stop" operator="between" showDropDown="false" showErrorMessage="false" showInputMessage="false" sqref="E7" type="list">
      <formula1>$AB$1:$AB$9</formula1>
      <formula2>0</formula2>
    </dataValidation>
    <dataValidation allowBlank="true" errorStyle="stop" operator="between" showDropDown="false" showErrorMessage="false" showInputMessage="false" sqref="C9" type="list">
      <formula1>$AC$1:$AC$23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3" ySplit="1" topLeftCell="N2" activePane="bottomRight" state="frozen"/>
      <selection pane="topLeft" activeCell="A1" activeCellId="0" sqref="A1"/>
      <selection pane="topRight" activeCell="N1" activeCellId="0" sqref="N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6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4"/>
  </cols>
  <sheetData>
    <row r="1" customFormat="false" ht="16.15" hidden="false" customHeight="false" outlineLevel="0" collapsed="false">
      <c r="A1" s="23" t="s">
        <v>59</v>
      </c>
      <c r="B1" s="24" t="s">
        <v>129</v>
      </c>
      <c r="N1" s="25" t="n">
        <f aca="false">Overview!$C$8</f>
        <v>45748</v>
      </c>
      <c r="O1" s="25" t="n">
        <f aca="false">EDATE(N1,1)</f>
        <v>45778</v>
      </c>
      <c r="P1" s="25" t="n">
        <f aca="false">EDATE(O1,1)</f>
        <v>45809</v>
      </c>
      <c r="Q1" s="25" t="n">
        <f aca="false">EDATE(P1,1)</f>
        <v>45839</v>
      </c>
      <c r="R1" s="25" t="n">
        <f aca="false">EDATE(Q1,1)</f>
        <v>45870</v>
      </c>
      <c r="S1" s="25" t="n">
        <f aca="false">EDATE(R1,1)</f>
        <v>45901</v>
      </c>
      <c r="T1" s="25" t="n">
        <f aca="false">EDATE(S1,1)</f>
        <v>45931</v>
      </c>
      <c r="U1" s="25" t="n">
        <f aca="false">EDATE(T1,1)</f>
        <v>45962</v>
      </c>
      <c r="V1" s="25" t="n">
        <f aca="false">EDATE(U1,1)</f>
        <v>45992</v>
      </c>
      <c r="W1" s="25" t="n">
        <f aca="false">EDATE(V1,1)</f>
        <v>46023</v>
      </c>
      <c r="X1" s="25" t="n">
        <f aca="false">EDATE(W1,1)</f>
        <v>46054</v>
      </c>
      <c r="Y1" s="25" t="n">
        <f aca="false">EDATE(X1,1)</f>
        <v>46082</v>
      </c>
      <c r="Z1" s="24" t="s">
        <v>130</v>
      </c>
    </row>
    <row r="2" customFormat="false" ht="22.35" hidden="false" customHeight="false" outlineLevel="0" collapsed="false">
      <c r="A2" s="26" t="s">
        <v>131</v>
      </c>
      <c r="B2" s="2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28" t="s">
        <v>132</v>
      </c>
    </row>
    <row r="3" customFormat="false" ht="15" hidden="false" customHeight="false" outlineLevel="0" collapsed="false">
      <c r="A3" s="26" t="s">
        <v>133</v>
      </c>
      <c r="B3" s="2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28" t="s">
        <v>134</v>
      </c>
    </row>
    <row r="4" customFormat="false" ht="15" hidden="false" customHeight="false" outlineLevel="0" collapsed="false">
      <c r="A4" s="26" t="s">
        <v>135</v>
      </c>
      <c r="B4" s="2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28" t="s">
        <v>136</v>
      </c>
    </row>
    <row r="5" customFormat="false" ht="15" hidden="false" customHeight="false" outlineLevel="0" collapsed="false">
      <c r="A5" s="26" t="s">
        <v>137</v>
      </c>
      <c r="B5" s="2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28" t="s">
        <v>136</v>
      </c>
    </row>
    <row r="6" customFormat="false" ht="15" hidden="false" customHeight="false" outlineLevel="0" collapsed="false">
      <c r="A6" s="26" t="s">
        <v>138</v>
      </c>
      <c r="B6" s="27" t="s">
        <v>139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28" t="s">
        <v>140</v>
      </c>
    </row>
    <row r="7" customFormat="false" ht="15" hidden="false" customHeight="false" outlineLevel="0" collapsed="false">
      <c r="A7" s="26" t="s">
        <v>141</v>
      </c>
      <c r="B7" s="27" t="s">
        <v>142</v>
      </c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26" t="s">
        <v>143</v>
      </c>
      <c r="B8" s="27" t="s">
        <v>144</v>
      </c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</sheetData>
  <dataValidations count="1">
    <dataValidation allowBlank="false" errorStyle="stop" operator="greaterThanOrEqual" showDropDown="false" showErrorMessage="false" showInputMessage="false" sqref="N2:Y8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146</v>
      </c>
      <c r="C1" s="3"/>
      <c r="D1" s="3"/>
      <c r="E1" s="3"/>
      <c r="F1" s="3"/>
      <c r="G1" s="3"/>
      <c r="H1" s="3"/>
      <c r="I1" s="3"/>
    </row>
    <row r="2" customFormat="false" ht="23.85" hidden="false" customHeight="false" outlineLevel="0" collapsed="false">
      <c r="A2" s="30" t="s">
        <v>147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153</v>
      </c>
      <c r="H2" s="30" t="s">
        <v>154</v>
      </c>
      <c r="I2" s="30" t="s">
        <v>155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23.85" hidden="false" customHeight="false" outlineLevel="0" collapsed="false">
      <c r="A20" s="30" t="s">
        <v>157</v>
      </c>
      <c r="B20" s="30" t="s">
        <v>148</v>
      </c>
      <c r="C20" s="30" t="s">
        <v>149</v>
      </c>
      <c r="D20" s="30" t="s">
        <v>150</v>
      </c>
      <c r="E20" s="30" t="s">
        <v>151</v>
      </c>
      <c r="F20" s="30" t="s">
        <v>152</v>
      </c>
      <c r="G20" s="30" t="s">
        <v>153</v>
      </c>
      <c r="H20" s="30" t="s">
        <v>158</v>
      </c>
      <c r="I20" s="30" t="s">
        <v>159</v>
      </c>
      <c r="N20" s="25" t="n">
        <f aca="false">Company!N1</f>
        <v>45748</v>
      </c>
      <c r="O20" s="25" t="n">
        <f aca="false">Company!O1</f>
        <v>45778</v>
      </c>
      <c r="P20" s="25" t="n">
        <f aca="false">Company!P1</f>
        <v>45809</v>
      </c>
      <c r="Q20" s="25" t="n">
        <f aca="false">Company!Q1</f>
        <v>45839</v>
      </c>
      <c r="R20" s="25" t="n">
        <f aca="false">Company!R1</f>
        <v>45870</v>
      </c>
      <c r="S20" s="25" t="n">
        <f aca="false">Company!S1</f>
        <v>45901</v>
      </c>
      <c r="T20" s="25" t="n">
        <f aca="false">Company!T1</f>
        <v>45931</v>
      </c>
      <c r="U20" s="25" t="n">
        <f aca="false">Company!U1</f>
        <v>45962</v>
      </c>
      <c r="V20" s="25" t="n">
        <f aca="false">Company!V1</f>
        <v>45992</v>
      </c>
      <c r="W20" s="25" t="n">
        <f aca="false">Company!W1</f>
        <v>46023</v>
      </c>
      <c r="X20" s="25" t="n">
        <f aca="false">Company!X1</f>
        <v>46054</v>
      </c>
      <c r="Y20" s="25" t="n">
        <f aca="false">Company!Y1</f>
        <v>46082</v>
      </c>
      <c r="Z20" s="30" t="s">
        <v>156</v>
      </c>
    </row>
    <row r="21" customFormat="false" ht="15" hidden="false" customHeight="false" outlineLevel="0" collapsed="false">
      <c r="B21" s="31" t="s">
        <v>157</v>
      </c>
      <c r="C21" s="31" t="s">
        <v>160</v>
      </c>
      <c r="D21" s="31" t="s">
        <v>161</v>
      </c>
      <c r="E21" s="31" t="s">
        <v>162</v>
      </c>
    </row>
    <row r="22" customFormat="false" ht="15" hidden="false" customHeight="false" outlineLevel="0" collapsed="false">
      <c r="B22" s="31" t="s">
        <v>157</v>
      </c>
      <c r="C22" s="31" t="s">
        <v>160</v>
      </c>
      <c r="D22" s="31" t="s">
        <v>163</v>
      </c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4">
    <dataValidation allowBlank="false" errorStyle="stop" operator="greaterThanOrEqual" showDropDown="false" showErrorMessage="false" showInputMessage="false" sqref="N3:Y19" type="decimal">
      <formula1>0</formula1>
      <formula2>0</formula2>
    </dataValidation>
    <dataValidation allowBlank="false" errorStyle="stop" operator="greaterThanOrEqual" showDropDown="false" showErrorMessage="false" showInputMessage="false" sqref="N21:Y62" type="decimal">
      <formula1>0</formula1>
      <formula2>0</formula2>
    </dataValidation>
    <dataValidation allowBlank="true" errorStyle="stop" operator="between" showDropDown="false" showErrorMessage="false" showInputMessage="false" sqref="G3:G19 G21:G62" type="list">
      <formula1>"office,home"</formula1>
      <formula2>0</formula2>
    </dataValidation>
    <dataValidation allowBlank="false" errorStyle="stop" operator="greaterThanOrEqual" showDropDown="false" showErrorMessage="false" showInputMessage="false" sqref="I21:I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66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91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164</v>
      </c>
      <c r="H2" s="30" t="s">
        <v>165</v>
      </c>
      <c r="I2" s="30" t="s">
        <v>166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167</v>
      </c>
      <c r="C3" s="31" t="s">
        <v>168</v>
      </c>
      <c r="D3" s="31" t="s">
        <v>169</v>
      </c>
      <c r="E3" s="8"/>
      <c r="F3" s="17"/>
      <c r="G3" s="8"/>
      <c r="H3" s="8"/>
      <c r="I3" s="31" t="s">
        <v>170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167</v>
      </c>
      <c r="C4" s="31" t="s">
        <v>168</v>
      </c>
      <c r="D4" s="31" t="s">
        <v>171</v>
      </c>
      <c r="E4" s="8"/>
      <c r="F4" s="17"/>
      <c r="G4" s="8"/>
      <c r="H4" s="8"/>
      <c r="I4" s="31" t="s">
        <v>170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167</v>
      </c>
      <c r="C5" s="31" t="s">
        <v>168</v>
      </c>
      <c r="D5" s="31" t="s">
        <v>172</v>
      </c>
      <c r="E5" s="8"/>
      <c r="F5" s="17"/>
      <c r="G5" s="8"/>
      <c r="H5" s="8"/>
      <c r="I5" s="31" t="s">
        <v>170</v>
      </c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167</v>
      </c>
      <c r="C6" s="31" t="s">
        <v>168</v>
      </c>
      <c r="D6" s="31" t="s">
        <v>173</v>
      </c>
      <c r="E6" s="8"/>
      <c r="F6" s="17"/>
      <c r="G6" s="8"/>
      <c r="H6" s="8"/>
      <c r="I6" s="31" t="s">
        <v>170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167</v>
      </c>
      <c r="C7" s="31" t="s">
        <v>174</v>
      </c>
      <c r="D7" s="31" t="s">
        <v>169</v>
      </c>
      <c r="E7" s="8"/>
      <c r="F7" s="17"/>
      <c r="G7" s="8"/>
      <c r="H7" s="8"/>
      <c r="I7" s="31" t="s">
        <v>170</v>
      </c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167</v>
      </c>
      <c r="C8" s="31" t="s">
        <v>174</v>
      </c>
      <c r="D8" s="31" t="s">
        <v>171</v>
      </c>
      <c r="E8" s="8"/>
      <c r="F8" s="17"/>
      <c r="G8" s="8"/>
      <c r="H8" s="8"/>
      <c r="I8" s="31" t="s">
        <v>170</v>
      </c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167</v>
      </c>
      <c r="C9" s="31" t="s">
        <v>174</v>
      </c>
      <c r="D9" s="31" t="s">
        <v>172</v>
      </c>
      <c r="E9" s="8"/>
      <c r="F9" s="17"/>
      <c r="G9" s="8"/>
      <c r="H9" s="8"/>
      <c r="I9" s="31" t="s">
        <v>170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31" t="s">
        <v>167</v>
      </c>
      <c r="C10" s="31" t="s">
        <v>174</v>
      </c>
      <c r="D10" s="31" t="s">
        <v>173</v>
      </c>
      <c r="E10" s="8"/>
      <c r="F10" s="17"/>
      <c r="G10" s="8"/>
      <c r="H10" s="8"/>
      <c r="I10" s="31" t="s">
        <v>170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31" t="s">
        <v>167</v>
      </c>
      <c r="C11" s="31" t="s">
        <v>175</v>
      </c>
      <c r="D11" s="31" t="s">
        <v>169</v>
      </c>
      <c r="E11" s="8"/>
      <c r="F11" s="17"/>
      <c r="G11" s="8"/>
      <c r="H11" s="8"/>
      <c r="I11" s="31" t="s">
        <v>170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31" t="s">
        <v>167</v>
      </c>
      <c r="C12" s="31" t="s">
        <v>175</v>
      </c>
      <c r="D12" s="31" t="s">
        <v>171</v>
      </c>
      <c r="E12" s="8"/>
      <c r="F12" s="17"/>
      <c r="G12" s="8"/>
      <c r="H12" s="8"/>
      <c r="I12" s="31" t="s">
        <v>170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31" t="s">
        <v>167</v>
      </c>
      <c r="C13" s="31" t="s">
        <v>175</v>
      </c>
      <c r="D13" s="31" t="s">
        <v>172</v>
      </c>
      <c r="E13" s="8"/>
      <c r="F13" s="17"/>
      <c r="G13" s="8"/>
      <c r="H13" s="8"/>
      <c r="I13" s="31" t="s">
        <v>170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31" t="s">
        <v>167</v>
      </c>
      <c r="C14" s="31" t="s">
        <v>175</v>
      </c>
      <c r="D14" s="31" t="s">
        <v>173</v>
      </c>
      <c r="E14" s="8"/>
      <c r="F14" s="17"/>
      <c r="G14" s="8"/>
      <c r="H14" s="8"/>
      <c r="I14" s="31" t="s">
        <v>170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31" t="s">
        <v>167</v>
      </c>
      <c r="C15" s="31" t="s">
        <v>176</v>
      </c>
      <c r="D15" s="31" t="s">
        <v>169</v>
      </c>
      <c r="E15" s="8"/>
      <c r="F15" s="17"/>
      <c r="G15" s="8"/>
      <c r="H15" s="8"/>
      <c r="I15" s="31" t="s">
        <v>170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31" t="s">
        <v>167</v>
      </c>
      <c r="C16" s="31" t="s">
        <v>176</v>
      </c>
      <c r="D16" s="31" t="s">
        <v>171</v>
      </c>
      <c r="E16" s="8"/>
      <c r="F16" s="17"/>
      <c r="G16" s="8"/>
      <c r="H16" s="8"/>
      <c r="I16" s="31" t="s">
        <v>170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31" t="s">
        <v>167</v>
      </c>
      <c r="C17" s="31" t="s">
        <v>176</v>
      </c>
      <c r="D17" s="31" t="s">
        <v>172</v>
      </c>
      <c r="E17" s="8"/>
      <c r="F17" s="17"/>
      <c r="G17" s="8"/>
      <c r="H17" s="8"/>
      <c r="I17" s="31" t="s">
        <v>170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31" t="s">
        <v>167</v>
      </c>
      <c r="C18" s="31" t="s">
        <v>176</v>
      </c>
      <c r="D18" s="31" t="s">
        <v>173</v>
      </c>
      <c r="E18" s="8"/>
      <c r="F18" s="17"/>
      <c r="G18" s="8"/>
      <c r="H18" s="8"/>
      <c r="I18" s="31" t="s">
        <v>170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31" t="s">
        <v>167</v>
      </c>
      <c r="C19" s="31" t="s">
        <v>177</v>
      </c>
      <c r="D19" s="31" t="s">
        <v>169</v>
      </c>
      <c r="E19" s="8"/>
      <c r="F19" s="17"/>
      <c r="G19" s="8"/>
      <c r="H19" s="8"/>
      <c r="I19" s="31" t="s">
        <v>170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31" t="s">
        <v>167</v>
      </c>
      <c r="C20" s="31" t="s">
        <v>177</v>
      </c>
      <c r="D20" s="31" t="s">
        <v>171</v>
      </c>
      <c r="E20" s="8"/>
      <c r="F20" s="17"/>
      <c r="G20" s="8"/>
      <c r="H20" s="8"/>
      <c r="I20" s="31" t="s">
        <v>170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31" t="s">
        <v>167</v>
      </c>
      <c r="C21" s="31" t="s">
        <v>177</v>
      </c>
      <c r="D21" s="31" t="s">
        <v>172</v>
      </c>
      <c r="E21" s="8"/>
      <c r="F21" s="17"/>
      <c r="G21" s="8"/>
      <c r="H21" s="8"/>
      <c r="I21" s="31" t="s">
        <v>170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31" t="s">
        <v>167</v>
      </c>
      <c r="C22" s="31" t="s">
        <v>177</v>
      </c>
      <c r="D22" s="31" t="s">
        <v>173</v>
      </c>
      <c r="E22" s="8"/>
      <c r="F22" s="17"/>
      <c r="G22" s="8"/>
      <c r="H22" s="8"/>
      <c r="I22" s="31" t="s">
        <v>170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31" t="s">
        <v>178</v>
      </c>
      <c r="C23" s="31" t="s">
        <v>178</v>
      </c>
      <c r="D23" s="31" t="s">
        <v>179</v>
      </c>
      <c r="E23" s="8"/>
      <c r="F23" s="17"/>
      <c r="G23" s="8"/>
      <c r="H23" s="8"/>
      <c r="I23" s="31" t="s">
        <v>170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31" t="s">
        <v>178</v>
      </c>
      <c r="C24" s="31" t="s">
        <v>178</v>
      </c>
      <c r="D24" s="31" t="s">
        <v>180</v>
      </c>
      <c r="E24" s="8"/>
      <c r="F24" s="17"/>
      <c r="G24" s="8"/>
      <c r="H24" s="8"/>
      <c r="I24" s="31" t="s">
        <v>170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31" t="s">
        <v>178</v>
      </c>
      <c r="C25" s="31" t="s">
        <v>178</v>
      </c>
      <c r="D25" s="31" t="s">
        <v>181</v>
      </c>
      <c r="E25" s="8"/>
      <c r="F25" s="17"/>
      <c r="G25" s="8"/>
      <c r="H25" s="8"/>
      <c r="I25" s="31" t="s">
        <v>170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31" t="s">
        <v>178</v>
      </c>
      <c r="C26" s="31" t="s">
        <v>178</v>
      </c>
      <c r="D26" s="31" t="s">
        <v>173</v>
      </c>
      <c r="E26" s="8"/>
      <c r="F26" s="17"/>
      <c r="G26" s="8"/>
      <c r="H26" s="8"/>
      <c r="I26" s="31" t="s">
        <v>170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31" t="s">
        <v>182</v>
      </c>
      <c r="C27" s="31" t="s">
        <v>183</v>
      </c>
      <c r="D27" s="31" t="s">
        <v>184</v>
      </c>
      <c r="E27" s="8"/>
      <c r="F27" s="17"/>
      <c r="G27" s="8"/>
      <c r="H27" s="8"/>
      <c r="I27" s="31" t="s">
        <v>170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31" t="s">
        <v>182</v>
      </c>
      <c r="C28" s="31" t="s">
        <v>183</v>
      </c>
      <c r="D28" s="31" t="s">
        <v>185</v>
      </c>
      <c r="E28" s="8"/>
      <c r="F28" s="17"/>
      <c r="G28" s="8"/>
      <c r="H28" s="8"/>
      <c r="I28" s="31" t="s">
        <v>170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31" t="s">
        <v>182</v>
      </c>
      <c r="C29" s="31" t="s">
        <v>183</v>
      </c>
      <c r="D29" s="31" t="s">
        <v>186</v>
      </c>
      <c r="E29" s="8"/>
      <c r="F29" s="17"/>
      <c r="G29" s="8"/>
      <c r="H29" s="8"/>
      <c r="I29" s="31" t="s">
        <v>170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31" t="s">
        <v>182</v>
      </c>
      <c r="C30" s="31" t="s">
        <v>183</v>
      </c>
      <c r="D30" s="31" t="s">
        <v>173</v>
      </c>
      <c r="E30" s="8"/>
      <c r="F30" s="17"/>
      <c r="G30" s="8"/>
      <c r="H30" s="8"/>
      <c r="I30" s="31" t="s">
        <v>170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31" t="s">
        <v>182</v>
      </c>
      <c r="C31" s="31" t="s">
        <v>187</v>
      </c>
      <c r="D31" s="31" t="s">
        <v>184</v>
      </c>
      <c r="E31" s="8"/>
      <c r="F31" s="17"/>
      <c r="G31" s="8"/>
      <c r="H31" s="8"/>
      <c r="I31" s="31" t="s">
        <v>170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31" t="s">
        <v>182</v>
      </c>
      <c r="C32" s="31" t="s">
        <v>187</v>
      </c>
      <c r="D32" s="31" t="s">
        <v>185</v>
      </c>
      <c r="E32" s="8"/>
      <c r="F32" s="17"/>
      <c r="G32" s="8"/>
      <c r="H32" s="8"/>
      <c r="I32" s="31" t="s">
        <v>170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31" t="s">
        <v>182</v>
      </c>
      <c r="C33" s="31" t="s">
        <v>187</v>
      </c>
      <c r="D33" s="31" t="s">
        <v>186</v>
      </c>
      <c r="E33" s="8"/>
      <c r="F33" s="17"/>
      <c r="G33" s="8"/>
      <c r="H33" s="8"/>
      <c r="I33" s="31" t="s">
        <v>170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31" t="s">
        <v>182</v>
      </c>
      <c r="C34" s="31" t="s">
        <v>187</v>
      </c>
      <c r="D34" s="31" t="s">
        <v>173</v>
      </c>
      <c r="E34" s="8"/>
      <c r="F34" s="17"/>
      <c r="G34" s="8"/>
      <c r="H34" s="8"/>
      <c r="I34" s="31" t="s">
        <v>170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54" type="decimal">
      <formula1>0</formula1>
      <formula2>0</formula2>
    </dataValidation>
    <dataValidation allowBlank="false" errorStyle="stop" operator="greaterThanOrEqual" showDropDown="false" showErrorMessage="false" showInputMessage="false" sqref="F3:F54" type="decimal">
      <formula1>0</formula1>
      <formula2>0</formula2>
    </dataValidation>
    <dataValidation allowBlank="true" errorStyle="stop" operator="between" showDropDown="false" showErrorMessage="false" showInputMessage="false" sqref="I3:I5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70</v>
      </c>
      <c r="C1" s="3"/>
      <c r="D1" s="3"/>
      <c r="E1" s="3"/>
      <c r="F1" s="3"/>
      <c r="G1" s="3"/>
      <c r="H1" s="3"/>
      <c r="I1" s="3"/>
    </row>
    <row r="2" customFormat="false" ht="23.85" hidden="false" customHeight="false" outlineLevel="0" collapsed="false">
      <c r="A2" s="30" t="s">
        <v>147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153</v>
      </c>
      <c r="H2" s="30" t="s">
        <v>154</v>
      </c>
      <c r="I2" s="30" t="s">
        <v>155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188</v>
      </c>
      <c r="C3" s="31" t="s">
        <v>188</v>
      </c>
      <c r="D3" s="31" t="s">
        <v>189</v>
      </c>
      <c r="E3" s="8"/>
      <c r="F3" s="17"/>
      <c r="G3" s="31" t="s">
        <v>190</v>
      </c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191</v>
      </c>
      <c r="C4" s="31" t="s">
        <v>191</v>
      </c>
      <c r="D4" s="31" t="s">
        <v>189</v>
      </c>
      <c r="E4" s="8"/>
      <c r="F4" s="17"/>
      <c r="G4" s="31" t="s">
        <v>190</v>
      </c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191</v>
      </c>
      <c r="C5" s="31" t="s">
        <v>191</v>
      </c>
      <c r="D5" s="31" t="s">
        <v>192</v>
      </c>
      <c r="E5" s="8"/>
      <c r="F5" s="17"/>
      <c r="G5" s="31" t="s">
        <v>190</v>
      </c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191</v>
      </c>
      <c r="C6" s="31" t="s">
        <v>191</v>
      </c>
      <c r="D6" s="31" t="s">
        <v>193</v>
      </c>
      <c r="E6" s="8"/>
      <c r="F6" s="17"/>
      <c r="G6" s="31" t="s">
        <v>190</v>
      </c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191</v>
      </c>
      <c r="C7" s="31" t="s">
        <v>191</v>
      </c>
      <c r="D7" s="31" t="s">
        <v>194</v>
      </c>
      <c r="E7" s="8"/>
      <c r="F7" s="17"/>
      <c r="G7" s="31" t="s">
        <v>190</v>
      </c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191</v>
      </c>
      <c r="C8" s="31" t="s">
        <v>191</v>
      </c>
      <c r="D8" s="31" t="s">
        <v>68</v>
      </c>
      <c r="E8" s="8"/>
      <c r="F8" s="17"/>
      <c r="G8" s="31" t="s">
        <v>190</v>
      </c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195</v>
      </c>
      <c r="C9" s="31" t="s">
        <v>195</v>
      </c>
      <c r="D9" s="8"/>
      <c r="E9" s="8"/>
      <c r="F9" s="17"/>
      <c r="G9" s="31" t="s">
        <v>190</v>
      </c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42" type="decimal">
      <formula1>0</formula1>
      <formula2>0</formula2>
    </dataValidation>
    <dataValidation allowBlank="false" errorStyle="stop" operator="greaterThanOrEqual" showDropDown="false" showErrorMessage="false" showInputMessage="false" sqref="F3:F42" type="decimal">
      <formula1>0</formula1>
      <formula2>0</formula2>
    </dataValidation>
    <dataValidation allowBlank="true" errorStyle="stop" operator="between" showDropDown="false" showErrorMessage="false" showInputMessage="false" sqref="G3:G42" type="list">
      <formula1>"office,home"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196</v>
      </c>
      <c r="C1" s="3"/>
      <c r="D1" s="3"/>
      <c r="E1" s="3"/>
      <c r="F1" s="3"/>
      <c r="G1" s="3"/>
      <c r="H1" s="3"/>
      <c r="I1" s="3"/>
    </row>
    <row r="2" customFormat="false" ht="23.85" hidden="false" customHeight="false" outlineLevel="0" collapsed="false">
      <c r="A2" s="30" t="s">
        <v>147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153</v>
      </c>
      <c r="H2" s="30" t="s">
        <v>154</v>
      </c>
      <c r="I2" s="30" t="s">
        <v>155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191</v>
      </c>
      <c r="C3" s="31" t="s">
        <v>191</v>
      </c>
      <c r="D3" s="31" t="s">
        <v>192</v>
      </c>
      <c r="E3" s="8"/>
      <c r="F3" s="17"/>
      <c r="G3" s="31" t="s">
        <v>190</v>
      </c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191</v>
      </c>
      <c r="C4" s="31" t="s">
        <v>191</v>
      </c>
      <c r="D4" s="31" t="s">
        <v>193</v>
      </c>
      <c r="E4" s="8"/>
      <c r="F4" s="17"/>
      <c r="G4" s="31" t="s">
        <v>190</v>
      </c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191</v>
      </c>
      <c r="C5" s="31" t="s">
        <v>191</v>
      </c>
      <c r="D5" s="31" t="s">
        <v>194</v>
      </c>
      <c r="E5" s="8"/>
      <c r="F5" s="17"/>
      <c r="G5" s="31" t="s">
        <v>190</v>
      </c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191</v>
      </c>
      <c r="C6" s="31" t="s">
        <v>191</v>
      </c>
      <c r="D6" s="31" t="s">
        <v>68</v>
      </c>
      <c r="E6" s="8"/>
      <c r="F6" s="17"/>
      <c r="G6" s="31" t="s">
        <v>190</v>
      </c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42" type="decimal">
      <formula1>0</formula1>
      <formula2>0</formula2>
    </dataValidation>
    <dataValidation allowBlank="false" errorStyle="stop" operator="greaterThanOrEqual" showDropDown="false" showErrorMessage="false" showInputMessage="false" sqref="F3:F42" type="decimal">
      <formula1>0</formula1>
      <formula2>0</formula2>
    </dataValidation>
    <dataValidation allowBlank="true" errorStyle="stop" operator="between" showDropDown="false" showErrorMessage="false" showInputMessage="false" sqref="G3:G42" type="list">
      <formula1>"office,home"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76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199</v>
      </c>
      <c r="C3" s="31" t="s">
        <v>199</v>
      </c>
      <c r="D3" s="8"/>
      <c r="E3" s="31" t="s">
        <v>200</v>
      </c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201</v>
      </c>
      <c r="C4" s="31" t="s">
        <v>201</v>
      </c>
      <c r="D4" s="31" t="s">
        <v>202</v>
      </c>
      <c r="E4" s="31" t="s">
        <v>203</v>
      </c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201</v>
      </c>
      <c r="C5" s="31" t="s">
        <v>201</v>
      </c>
      <c r="D5" s="31" t="s">
        <v>204</v>
      </c>
      <c r="E5" s="31" t="s">
        <v>203</v>
      </c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201</v>
      </c>
      <c r="C6" s="31" t="s">
        <v>201</v>
      </c>
      <c r="D6" s="31" t="s">
        <v>205</v>
      </c>
      <c r="E6" s="31" t="s">
        <v>203</v>
      </c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201</v>
      </c>
      <c r="C7" s="31" t="s">
        <v>201</v>
      </c>
      <c r="D7" s="31" t="s">
        <v>206</v>
      </c>
      <c r="E7" s="31" t="s">
        <v>203</v>
      </c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201</v>
      </c>
      <c r="C8" s="31" t="s">
        <v>201</v>
      </c>
      <c r="D8" s="31" t="s">
        <v>207</v>
      </c>
      <c r="E8" s="31" t="s">
        <v>203</v>
      </c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201</v>
      </c>
      <c r="C9" s="31" t="s">
        <v>201</v>
      </c>
      <c r="D9" s="31" t="s">
        <v>208</v>
      </c>
      <c r="E9" s="31" t="s">
        <v>203</v>
      </c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79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82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209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210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211</v>
      </c>
      <c r="C3" s="31" t="s">
        <v>211</v>
      </c>
      <c r="D3" s="31" t="s">
        <v>202</v>
      </c>
      <c r="E3" s="31" t="s">
        <v>203</v>
      </c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211</v>
      </c>
      <c r="C4" s="31" t="s">
        <v>211</v>
      </c>
      <c r="D4" s="31" t="s">
        <v>212</v>
      </c>
      <c r="E4" s="31" t="s">
        <v>203</v>
      </c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22.35" hidden="false" customHeight="false" outlineLevel="0" collapsed="false">
      <c r="A5" s="8"/>
      <c r="B5" s="31" t="s">
        <v>211</v>
      </c>
      <c r="C5" s="31" t="s">
        <v>211</v>
      </c>
      <c r="D5" s="31" t="s">
        <v>213</v>
      </c>
      <c r="E5" s="31" t="s">
        <v>203</v>
      </c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211</v>
      </c>
      <c r="C6" s="31" t="s">
        <v>211</v>
      </c>
      <c r="D6" s="31" t="s">
        <v>204</v>
      </c>
      <c r="E6" s="31" t="s">
        <v>203</v>
      </c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211</v>
      </c>
      <c r="C7" s="31" t="s">
        <v>211</v>
      </c>
      <c r="D7" s="31" t="s">
        <v>206</v>
      </c>
      <c r="E7" s="31" t="s">
        <v>203</v>
      </c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211</v>
      </c>
      <c r="C8" s="31" t="s">
        <v>211</v>
      </c>
      <c r="D8" s="31" t="s">
        <v>207</v>
      </c>
      <c r="E8" s="31" t="s">
        <v>203</v>
      </c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211</v>
      </c>
      <c r="C9" s="31" t="s">
        <v>211</v>
      </c>
      <c r="D9" s="31" t="s">
        <v>208</v>
      </c>
      <c r="E9" s="31" t="s">
        <v>203</v>
      </c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31" t="s">
        <v>214</v>
      </c>
      <c r="C10" s="31" t="s">
        <v>214</v>
      </c>
      <c r="D10" s="8"/>
      <c r="E10" s="31" t="s">
        <v>200</v>
      </c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91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91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164</v>
      </c>
      <c r="H2" s="30" t="s">
        <v>165</v>
      </c>
      <c r="I2" s="30" t="s">
        <v>166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167</v>
      </c>
      <c r="C3" s="31" t="s">
        <v>168</v>
      </c>
      <c r="D3" s="31" t="s">
        <v>169</v>
      </c>
      <c r="E3" s="8"/>
      <c r="F3" s="17"/>
      <c r="G3" s="8"/>
      <c r="H3" s="8"/>
      <c r="I3" s="31" t="s">
        <v>170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167</v>
      </c>
      <c r="C4" s="31" t="s">
        <v>168</v>
      </c>
      <c r="D4" s="31" t="s">
        <v>171</v>
      </c>
      <c r="E4" s="8"/>
      <c r="F4" s="17"/>
      <c r="G4" s="8"/>
      <c r="H4" s="8"/>
      <c r="I4" s="31" t="s">
        <v>170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167</v>
      </c>
      <c r="C5" s="31" t="s">
        <v>168</v>
      </c>
      <c r="D5" s="31" t="s">
        <v>172</v>
      </c>
      <c r="E5" s="8"/>
      <c r="F5" s="17"/>
      <c r="G5" s="8"/>
      <c r="H5" s="8"/>
      <c r="I5" s="31" t="s">
        <v>170</v>
      </c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167</v>
      </c>
      <c r="C6" s="31" t="s">
        <v>168</v>
      </c>
      <c r="D6" s="31" t="s">
        <v>173</v>
      </c>
      <c r="E6" s="8"/>
      <c r="F6" s="17"/>
      <c r="G6" s="8"/>
      <c r="H6" s="8"/>
      <c r="I6" s="31" t="s">
        <v>170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167</v>
      </c>
      <c r="C7" s="31" t="s">
        <v>174</v>
      </c>
      <c r="D7" s="31" t="s">
        <v>169</v>
      </c>
      <c r="E7" s="8"/>
      <c r="F7" s="17"/>
      <c r="G7" s="8"/>
      <c r="H7" s="8"/>
      <c r="I7" s="31" t="s">
        <v>170</v>
      </c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167</v>
      </c>
      <c r="C8" s="31" t="s">
        <v>174</v>
      </c>
      <c r="D8" s="31" t="s">
        <v>171</v>
      </c>
      <c r="E8" s="8"/>
      <c r="F8" s="17"/>
      <c r="G8" s="8"/>
      <c r="H8" s="8"/>
      <c r="I8" s="31" t="s">
        <v>170</v>
      </c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167</v>
      </c>
      <c r="C9" s="31" t="s">
        <v>174</v>
      </c>
      <c r="D9" s="31" t="s">
        <v>172</v>
      </c>
      <c r="E9" s="8"/>
      <c r="F9" s="17"/>
      <c r="G9" s="8"/>
      <c r="H9" s="8"/>
      <c r="I9" s="31" t="s">
        <v>170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31" t="s">
        <v>167</v>
      </c>
      <c r="C10" s="31" t="s">
        <v>174</v>
      </c>
      <c r="D10" s="31" t="s">
        <v>173</v>
      </c>
      <c r="E10" s="8"/>
      <c r="F10" s="17"/>
      <c r="G10" s="8"/>
      <c r="H10" s="8"/>
      <c r="I10" s="31" t="s">
        <v>170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31" t="s">
        <v>167</v>
      </c>
      <c r="C11" s="31" t="s">
        <v>175</v>
      </c>
      <c r="D11" s="31" t="s">
        <v>169</v>
      </c>
      <c r="E11" s="8"/>
      <c r="F11" s="17"/>
      <c r="G11" s="8"/>
      <c r="H11" s="8"/>
      <c r="I11" s="31" t="s">
        <v>170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31" t="s">
        <v>167</v>
      </c>
      <c r="C12" s="31" t="s">
        <v>175</v>
      </c>
      <c r="D12" s="31" t="s">
        <v>171</v>
      </c>
      <c r="E12" s="8"/>
      <c r="F12" s="17"/>
      <c r="G12" s="8"/>
      <c r="H12" s="8"/>
      <c r="I12" s="31" t="s">
        <v>170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31" t="s">
        <v>167</v>
      </c>
      <c r="C13" s="31" t="s">
        <v>175</v>
      </c>
      <c r="D13" s="31" t="s">
        <v>172</v>
      </c>
      <c r="E13" s="8"/>
      <c r="F13" s="17"/>
      <c r="G13" s="8"/>
      <c r="H13" s="8"/>
      <c r="I13" s="31" t="s">
        <v>170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31" t="s">
        <v>167</v>
      </c>
      <c r="C14" s="31" t="s">
        <v>175</v>
      </c>
      <c r="D14" s="31" t="s">
        <v>173</v>
      </c>
      <c r="E14" s="8"/>
      <c r="F14" s="17"/>
      <c r="G14" s="8"/>
      <c r="H14" s="8"/>
      <c r="I14" s="31" t="s">
        <v>170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31" t="s">
        <v>167</v>
      </c>
      <c r="C15" s="31" t="s">
        <v>176</v>
      </c>
      <c r="D15" s="31" t="s">
        <v>169</v>
      </c>
      <c r="E15" s="8"/>
      <c r="F15" s="17"/>
      <c r="G15" s="8"/>
      <c r="H15" s="8"/>
      <c r="I15" s="31" t="s">
        <v>170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31" t="s">
        <v>167</v>
      </c>
      <c r="C16" s="31" t="s">
        <v>176</v>
      </c>
      <c r="D16" s="31" t="s">
        <v>171</v>
      </c>
      <c r="E16" s="8"/>
      <c r="F16" s="17"/>
      <c r="G16" s="8"/>
      <c r="H16" s="8"/>
      <c r="I16" s="31" t="s">
        <v>170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31" t="s">
        <v>167</v>
      </c>
      <c r="C17" s="31" t="s">
        <v>176</v>
      </c>
      <c r="D17" s="31" t="s">
        <v>172</v>
      </c>
      <c r="E17" s="8"/>
      <c r="F17" s="17"/>
      <c r="G17" s="8"/>
      <c r="H17" s="8"/>
      <c r="I17" s="31" t="s">
        <v>170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31" t="s">
        <v>167</v>
      </c>
      <c r="C18" s="31" t="s">
        <v>176</v>
      </c>
      <c r="D18" s="31" t="s">
        <v>173</v>
      </c>
      <c r="E18" s="8"/>
      <c r="F18" s="17"/>
      <c r="G18" s="8"/>
      <c r="H18" s="8"/>
      <c r="I18" s="31" t="s">
        <v>170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31" t="s">
        <v>167</v>
      </c>
      <c r="C19" s="31" t="s">
        <v>177</v>
      </c>
      <c r="D19" s="31" t="s">
        <v>169</v>
      </c>
      <c r="E19" s="8"/>
      <c r="F19" s="17"/>
      <c r="G19" s="8"/>
      <c r="H19" s="8"/>
      <c r="I19" s="31" t="s">
        <v>170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31" t="s">
        <v>167</v>
      </c>
      <c r="C20" s="31" t="s">
        <v>177</v>
      </c>
      <c r="D20" s="31" t="s">
        <v>171</v>
      </c>
      <c r="E20" s="8"/>
      <c r="F20" s="17"/>
      <c r="G20" s="8"/>
      <c r="H20" s="8"/>
      <c r="I20" s="31" t="s">
        <v>170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31" t="s">
        <v>167</v>
      </c>
      <c r="C21" s="31" t="s">
        <v>177</v>
      </c>
      <c r="D21" s="31" t="s">
        <v>172</v>
      </c>
      <c r="E21" s="8"/>
      <c r="F21" s="17"/>
      <c r="G21" s="8"/>
      <c r="H21" s="8"/>
      <c r="I21" s="31" t="s">
        <v>170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31" t="s">
        <v>167</v>
      </c>
      <c r="C22" s="31" t="s">
        <v>177</v>
      </c>
      <c r="D22" s="31" t="s">
        <v>173</v>
      </c>
      <c r="E22" s="8"/>
      <c r="F22" s="17"/>
      <c r="G22" s="8"/>
      <c r="H22" s="8"/>
      <c r="I22" s="31" t="s">
        <v>170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31" t="s">
        <v>215</v>
      </c>
      <c r="C23" s="31" t="s">
        <v>215</v>
      </c>
      <c r="D23" s="31" t="s">
        <v>216</v>
      </c>
      <c r="E23" s="8"/>
      <c r="F23" s="17"/>
      <c r="G23" s="8"/>
      <c r="H23" s="8"/>
      <c r="I23" s="31" t="s">
        <v>170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31" t="s">
        <v>215</v>
      </c>
      <c r="C24" s="31" t="s">
        <v>215</v>
      </c>
      <c r="D24" s="31" t="s">
        <v>217</v>
      </c>
      <c r="E24" s="8"/>
      <c r="F24" s="17"/>
      <c r="G24" s="8"/>
      <c r="H24" s="8"/>
      <c r="I24" s="31" t="s">
        <v>170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31" t="s">
        <v>218</v>
      </c>
      <c r="C25" s="31" t="s">
        <v>218</v>
      </c>
      <c r="D25" s="31" t="s">
        <v>219</v>
      </c>
      <c r="E25" s="8"/>
      <c r="F25" s="17"/>
      <c r="G25" s="8"/>
      <c r="H25" s="8"/>
      <c r="I25" s="31" t="s">
        <v>170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31" t="s">
        <v>218</v>
      </c>
      <c r="C26" s="31" t="s">
        <v>218</v>
      </c>
      <c r="D26" s="31" t="s">
        <v>220</v>
      </c>
      <c r="E26" s="8"/>
      <c r="F26" s="17"/>
      <c r="G26" s="8"/>
      <c r="H26" s="8"/>
      <c r="I26" s="31" t="s">
        <v>170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31" t="s">
        <v>218</v>
      </c>
      <c r="C27" s="31" t="s">
        <v>218</v>
      </c>
      <c r="D27" s="31" t="s">
        <v>221</v>
      </c>
      <c r="E27" s="8"/>
      <c r="F27" s="17"/>
      <c r="G27" s="8"/>
      <c r="H27" s="8"/>
      <c r="I27" s="31" t="s">
        <v>170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31" t="s">
        <v>218</v>
      </c>
      <c r="C28" s="31" t="s">
        <v>218</v>
      </c>
      <c r="D28" s="31" t="s">
        <v>222</v>
      </c>
      <c r="E28" s="8"/>
      <c r="F28" s="17"/>
      <c r="G28" s="8"/>
      <c r="H28" s="8"/>
      <c r="I28" s="31" t="s">
        <v>170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31" t="s">
        <v>223</v>
      </c>
      <c r="C29" s="31" t="s">
        <v>223</v>
      </c>
      <c r="D29" s="31" t="s">
        <v>224</v>
      </c>
      <c r="E29" s="8"/>
      <c r="F29" s="17"/>
      <c r="G29" s="8"/>
      <c r="H29" s="8"/>
      <c r="I29" s="31" t="s">
        <v>170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31" t="s">
        <v>223</v>
      </c>
      <c r="C30" s="31" t="s">
        <v>223</v>
      </c>
      <c r="D30" s="31" t="s">
        <v>225</v>
      </c>
      <c r="E30" s="8"/>
      <c r="F30" s="17"/>
      <c r="G30" s="8"/>
      <c r="H30" s="8"/>
      <c r="I30" s="31" t="s">
        <v>170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31" t="s">
        <v>226</v>
      </c>
      <c r="C31" s="31" t="s">
        <v>226</v>
      </c>
      <c r="D31" s="8"/>
      <c r="E31" s="8"/>
      <c r="F31" s="17"/>
      <c r="G31" s="8"/>
      <c r="H31" s="8"/>
      <c r="I31" s="31" t="s">
        <v>170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31" t="s">
        <v>227</v>
      </c>
      <c r="C32" s="31" t="s">
        <v>228</v>
      </c>
      <c r="D32" s="31" t="s">
        <v>173</v>
      </c>
      <c r="E32" s="8"/>
      <c r="F32" s="17"/>
      <c r="G32" s="8"/>
      <c r="H32" s="8"/>
      <c r="I32" s="31" t="s">
        <v>170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31" t="s">
        <v>227</v>
      </c>
      <c r="C33" s="31" t="s">
        <v>229</v>
      </c>
      <c r="D33" s="31" t="s">
        <v>173</v>
      </c>
      <c r="E33" s="8"/>
      <c r="F33" s="17"/>
      <c r="G33" s="8"/>
      <c r="H33" s="8"/>
      <c r="I33" s="31" t="s">
        <v>170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31" t="s">
        <v>227</v>
      </c>
      <c r="C34" s="31" t="s">
        <v>229</v>
      </c>
      <c r="D34" s="31" t="s">
        <v>230</v>
      </c>
      <c r="E34" s="8"/>
      <c r="F34" s="17"/>
      <c r="G34" s="8"/>
      <c r="H34" s="8"/>
      <c r="I34" s="31" t="s">
        <v>170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31" t="s">
        <v>227</v>
      </c>
      <c r="C35" s="31" t="s">
        <v>229</v>
      </c>
      <c r="D35" s="31" t="s">
        <v>231</v>
      </c>
      <c r="E35" s="8"/>
      <c r="F35" s="17"/>
      <c r="G35" s="8"/>
      <c r="H35" s="8"/>
      <c r="I35" s="31" t="s">
        <v>170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31" t="s">
        <v>227</v>
      </c>
      <c r="C36" s="31" t="s">
        <v>232</v>
      </c>
      <c r="D36" s="31" t="s">
        <v>173</v>
      </c>
      <c r="E36" s="8"/>
      <c r="F36" s="17"/>
      <c r="G36" s="8"/>
      <c r="H36" s="8"/>
      <c r="I36" s="31" t="s">
        <v>170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31" t="s">
        <v>227</v>
      </c>
      <c r="C37" s="31" t="s">
        <v>232</v>
      </c>
      <c r="D37" s="31" t="s">
        <v>230</v>
      </c>
      <c r="E37" s="8"/>
      <c r="F37" s="17"/>
      <c r="G37" s="8"/>
      <c r="H37" s="8"/>
      <c r="I37" s="31" t="s">
        <v>170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31" t="s">
        <v>227</v>
      </c>
      <c r="C38" s="31" t="s">
        <v>232</v>
      </c>
      <c r="D38" s="31" t="s">
        <v>233</v>
      </c>
      <c r="E38" s="8"/>
      <c r="F38" s="17"/>
      <c r="G38" s="8"/>
      <c r="H38" s="8"/>
      <c r="I38" s="31" t="s">
        <v>170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31" t="s">
        <v>227</v>
      </c>
      <c r="C39" s="31" t="s">
        <v>232</v>
      </c>
      <c r="D39" s="31" t="s">
        <v>231</v>
      </c>
      <c r="E39" s="8"/>
      <c r="F39" s="17"/>
      <c r="G39" s="8"/>
      <c r="H39" s="8"/>
      <c r="I39" s="31" t="s">
        <v>170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31" t="s">
        <v>227</v>
      </c>
      <c r="C40" s="31" t="s">
        <v>232</v>
      </c>
      <c r="D40" s="31" t="s">
        <v>234</v>
      </c>
      <c r="E40" s="8"/>
      <c r="F40" s="17"/>
      <c r="G40" s="8"/>
      <c r="H40" s="8"/>
      <c r="I40" s="31" t="s">
        <v>170</v>
      </c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31" t="s">
        <v>227</v>
      </c>
      <c r="C41" s="31" t="s">
        <v>220</v>
      </c>
      <c r="D41" s="31" t="s">
        <v>173</v>
      </c>
      <c r="E41" s="8"/>
      <c r="F41" s="17"/>
      <c r="G41" s="8"/>
      <c r="H41" s="8"/>
      <c r="I41" s="31" t="s">
        <v>170</v>
      </c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31" t="s">
        <v>227</v>
      </c>
      <c r="C42" s="31" t="s">
        <v>220</v>
      </c>
      <c r="D42" s="31" t="s">
        <v>230</v>
      </c>
      <c r="E42" s="8"/>
      <c r="F42" s="17"/>
      <c r="G42" s="8"/>
      <c r="H42" s="8"/>
      <c r="I42" s="31" t="s">
        <v>170</v>
      </c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31" t="s">
        <v>227</v>
      </c>
      <c r="C43" s="31" t="s">
        <v>220</v>
      </c>
      <c r="D43" s="31" t="s">
        <v>233</v>
      </c>
      <c r="E43" s="8"/>
      <c r="F43" s="17"/>
      <c r="G43" s="8"/>
      <c r="H43" s="8"/>
      <c r="I43" s="31" t="s">
        <v>170</v>
      </c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31" t="s">
        <v>227</v>
      </c>
      <c r="C44" s="31" t="s">
        <v>220</v>
      </c>
      <c r="D44" s="31" t="s">
        <v>231</v>
      </c>
      <c r="E44" s="8"/>
      <c r="F44" s="17"/>
      <c r="G44" s="8"/>
      <c r="H44" s="8"/>
      <c r="I44" s="31" t="s">
        <v>170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31" t="s">
        <v>227</v>
      </c>
      <c r="C45" s="31" t="s">
        <v>220</v>
      </c>
      <c r="D45" s="31" t="s">
        <v>234</v>
      </c>
      <c r="E45" s="8"/>
      <c r="F45" s="17"/>
      <c r="G45" s="8"/>
      <c r="H45" s="8"/>
      <c r="I45" s="31" t="s">
        <v>170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31" t="s">
        <v>235</v>
      </c>
      <c r="C46" s="31" t="s">
        <v>235</v>
      </c>
      <c r="D46" s="31" t="s">
        <v>236</v>
      </c>
      <c r="E46" s="8"/>
      <c r="F46" s="17"/>
      <c r="G46" s="8"/>
      <c r="H46" s="8"/>
      <c r="I46" s="31" t="s">
        <v>170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31" t="s">
        <v>235</v>
      </c>
      <c r="C47" s="31" t="s">
        <v>235</v>
      </c>
      <c r="D47" s="31" t="s">
        <v>237</v>
      </c>
      <c r="E47" s="8"/>
      <c r="F47" s="17"/>
      <c r="G47" s="8"/>
      <c r="H47" s="8"/>
      <c r="I47" s="31" t="s">
        <v>170</v>
      </c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31" t="s">
        <v>235</v>
      </c>
      <c r="C48" s="31" t="s">
        <v>235</v>
      </c>
      <c r="D48" s="31" t="s">
        <v>173</v>
      </c>
      <c r="E48" s="8"/>
      <c r="F48" s="17"/>
      <c r="G48" s="8"/>
      <c r="H48" s="8"/>
      <c r="I48" s="31" t="s">
        <v>170</v>
      </c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31" t="s">
        <v>178</v>
      </c>
      <c r="C49" s="31" t="s">
        <v>178</v>
      </c>
      <c r="D49" s="31" t="s">
        <v>179</v>
      </c>
      <c r="E49" s="8"/>
      <c r="F49" s="17"/>
      <c r="G49" s="8"/>
      <c r="H49" s="8"/>
      <c r="I49" s="31" t="s">
        <v>170</v>
      </c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31" t="s">
        <v>178</v>
      </c>
      <c r="C50" s="31" t="s">
        <v>178</v>
      </c>
      <c r="D50" s="31" t="s">
        <v>180</v>
      </c>
      <c r="E50" s="8"/>
      <c r="F50" s="17"/>
      <c r="G50" s="8"/>
      <c r="H50" s="8"/>
      <c r="I50" s="31" t="s">
        <v>170</v>
      </c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31" t="s">
        <v>178</v>
      </c>
      <c r="C51" s="31" t="s">
        <v>178</v>
      </c>
      <c r="D51" s="31" t="s">
        <v>181</v>
      </c>
      <c r="E51" s="8"/>
      <c r="F51" s="17"/>
      <c r="G51" s="8"/>
      <c r="H51" s="8"/>
      <c r="I51" s="31" t="s">
        <v>170</v>
      </c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31" t="s">
        <v>178</v>
      </c>
      <c r="C52" s="31" t="s">
        <v>178</v>
      </c>
      <c r="D52" s="31" t="s">
        <v>173</v>
      </c>
      <c r="E52" s="8"/>
      <c r="F52" s="17"/>
      <c r="G52" s="8"/>
      <c r="H52" s="8"/>
      <c r="I52" s="31" t="s">
        <v>170</v>
      </c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31" t="s">
        <v>183</v>
      </c>
      <c r="C53" s="31" t="s">
        <v>183</v>
      </c>
      <c r="D53" s="31" t="s">
        <v>184</v>
      </c>
      <c r="E53" s="8"/>
      <c r="F53" s="17"/>
      <c r="G53" s="8"/>
      <c r="H53" s="8"/>
      <c r="I53" s="31" t="s">
        <v>170</v>
      </c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31" t="s">
        <v>183</v>
      </c>
      <c r="C54" s="31" t="s">
        <v>183</v>
      </c>
      <c r="D54" s="31" t="s">
        <v>185</v>
      </c>
      <c r="E54" s="8"/>
      <c r="F54" s="17"/>
      <c r="G54" s="8"/>
      <c r="H54" s="8"/>
      <c r="I54" s="31" t="s">
        <v>170</v>
      </c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31" t="s">
        <v>183</v>
      </c>
      <c r="C55" s="31" t="s">
        <v>183</v>
      </c>
      <c r="D55" s="31" t="s">
        <v>186</v>
      </c>
      <c r="E55" s="8"/>
      <c r="F55" s="17"/>
      <c r="G55" s="8"/>
      <c r="H55" s="8"/>
      <c r="I55" s="31" t="s">
        <v>170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31" t="s">
        <v>183</v>
      </c>
      <c r="C56" s="31" t="s">
        <v>183</v>
      </c>
      <c r="D56" s="31" t="s">
        <v>173</v>
      </c>
      <c r="E56" s="8"/>
      <c r="F56" s="17"/>
      <c r="G56" s="8"/>
      <c r="H56" s="8"/>
      <c r="I56" s="31" t="s">
        <v>170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31" t="s">
        <v>187</v>
      </c>
      <c r="C57" s="31" t="s">
        <v>187</v>
      </c>
      <c r="D57" s="31" t="s">
        <v>184</v>
      </c>
      <c r="E57" s="8"/>
      <c r="F57" s="17"/>
      <c r="G57" s="8"/>
      <c r="H57" s="8"/>
      <c r="I57" s="31" t="s">
        <v>170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31" t="s">
        <v>187</v>
      </c>
      <c r="C58" s="31" t="s">
        <v>187</v>
      </c>
      <c r="D58" s="31" t="s">
        <v>185</v>
      </c>
      <c r="E58" s="8"/>
      <c r="F58" s="17"/>
      <c r="G58" s="8"/>
      <c r="H58" s="8"/>
      <c r="I58" s="31" t="s">
        <v>170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31" t="s">
        <v>187</v>
      </c>
      <c r="C59" s="31" t="s">
        <v>187</v>
      </c>
      <c r="D59" s="31" t="s">
        <v>186</v>
      </c>
      <c r="E59" s="8"/>
      <c r="F59" s="17"/>
      <c r="G59" s="8"/>
      <c r="H59" s="8"/>
      <c r="I59" s="31" t="s">
        <v>170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31" t="s">
        <v>187</v>
      </c>
      <c r="C60" s="31" t="s">
        <v>187</v>
      </c>
      <c r="D60" s="31" t="s">
        <v>173</v>
      </c>
      <c r="E60" s="8"/>
      <c r="F60" s="17"/>
      <c r="G60" s="8"/>
      <c r="H60" s="8"/>
      <c r="I60" s="31" t="s">
        <v>170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31" t="s">
        <v>238</v>
      </c>
      <c r="C61" s="31" t="s">
        <v>238</v>
      </c>
      <c r="D61" s="8"/>
      <c r="E61" s="8"/>
      <c r="F61" s="17"/>
      <c r="G61" s="8"/>
      <c r="H61" s="8"/>
      <c r="I61" s="31" t="s">
        <v>170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31" t="s">
        <v>239</v>
      </c>
      <c r="C62" s="31" t="s">
        <v>239</v>
      </c>
      <c r="D62" s="8"/>
      <c r="E62" s="8"/>
      <c r="F62" s="17"/>
      <c r="G62" s="8"/>
      <c r="H62" s="8"/>
      <c r="I62" s="31" t="s">
        <v>170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true" errorStyle="stop" operator="between" showDropDown="false" showErrorMessage="false" showInputMessage="false" sqref="I3:I6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94</v>
      </c>
      <c r="C1" s="3"/>
      <c r="D1" s="3"/>
      <c r="E1" s="3"/>
      <c r="F1" s="3"/>
      <c r="G1" s="3"/>
      <c r="H1" s="3"/>
      <c r="I1" s="3"/>
    </row>
    <row r="2" customFormat="false" ht="23.85" hidden="false" customHeight="false" outlineLevel="0" collapsed="false">
      <c r="A2" s="30" t="s">
        <v>94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164</v>
      </c>
      <c r="H2" s="30" t="s">
        <v>165</v>
      </c>
      <c r="I2" s="30" t="s">
        <v>166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31" t="s">
        <v>167</v>
      </c>
      <c r="C3" s="31" t="s">
        <v>168</v>
      </c>
      <c r="D3" s="31" t="s">
        <v>169</v>
      </c>
      <c r="E3" s="8"/>
      <c r="F3" s="17"/>
      <c r="G3" s="8"/>
      <c r="H3" s="8"/>
      <c r="I3" s="31" t="s">
        <v>170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31" t="s">
        <v>167</v>
      </c>
      <c r="C4" s="31" t="s">
        <v>168</v>
      </c>
      <c r="D4" s="31" t="s">
        <v>171</v>
      </c>
      <c r="E4" s="8"/>
      <c r="F4" s="17"/>
      <c r="G4" s="8"/>
      <c r="H4" s="8"/>
      <c r="I4" s="31" t="s">
        <v>170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31" t="s">
        <v>167</v>
      </c>
      <c r="C5" s="31" t="s">
        <v>168</v>
      </c>
      <c r="D5" s="31" t="s">
        <v>172</v>
      </c>
      <c r="E5" s="8"/>
      <c r="F5" s="17"/>
      <c r="G5" s="8"/>
      <c r="H5" s="8"/>
      <c r="I5" s="31" t="s">
        <v>170</v>
      </c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31" t="s">
        <v>167</v>
      </c>
      <c r="C6" s="31" t="s">
        <v>168</v>
      </c>
      <c r="D6" s="31" t="s">
        <v>173</v>
      </c>
      <c r="E6" s="8"/>
      <c r="F6" s="17"/>
      <c r="G6" s="8"/>
      <c r="H6" s="8"/>
      <c r="I6" s="31" t="s">
        <v>170</v>
      </c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31" t="s">
        <v>167</v>
      </c>
      <c r="C7" s="31" t="s">
        <v>174</v>
      </c>
      <c r="D7" s="31" t="s">
        <v>169</v>
      </c>
      <c r="E7" s="8"/>
      <c r="F7" s="17"/>
      <c r="G7" s="8"/>
      <c r="H7" s="8"/>
      <c r="I7" s="31" t="s">
        <v>170</v>
      </c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31" t="s">
        <v>167</v>
      </c>
      <c r="C8" s="31" t="s">
        <v>174</v>
      </c>
      <c r="D8" s="31" t="s">
        <v>171</v>
      </c>
      <c r="E8" s="8"/>
      <c r="F8" s="17"/>
      <c r="G8" s="8"/>
      <c r="H8" s="8"/>
      <c r="I8" s="31" t="s">
        <v>170</v>
      </c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31" t="s">
        <v>167</v>
      </c>
      <c r="C9" s="31" t="s">
        <v>174</v>
      </c>
      <c r="D9" s="31" t="s">
        <v>172</v>
      </c>
      <c r="E9" s="8"/>
      <c r="F9" s="17"/>
      <c r="G9" s="8"/>
      <c r="H9" s="8"/>
      <c r="I9" s="31" t="s">
        <v>170</v>
      </c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31" t="s">
        <v>167</v>
      </c>
      <c r="C10" s="31" t="s">
        <v>174</v>
      </c>
      <c r="D10" s="31" t="s">
        <v>173</v>
      </c>
      <c r="E10" s="8"/>
      <c r="F10" s="17"/>
      <c r="G10" s="8"/>
      <c r="H10" s="8"/>
      <c r="I10" s="31" t="s">
        <v>170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31" t="s">
        <v>167</v>
      </c>
      <c r="C11" s="31" t="s">
        <v>175</v>
      </c>
      <c r="D11" s="31" t="s">
        <v>169</v>
      </c>
      <c r="E11" s="8"/>
      <c r="F11" s="17"/>
      <c r="G11" s="8"/>
      <c r="H11" s="8"/>
      <c r="I11" s="31" t="s">
        <v>170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31" t="s">
        <v>167</v>
      </c>
      <c r="C12" s="31" t="s">
        <v>175</v>
      </c>
      <c r="D12" s="31" t="s">
        <v>171</v>
      </c>
      <c r="E12" s="8"/>
      <c r="F12" s="17"/>
      <c r="G12" s="8"/>
      <c r="H12" s="8"/>
      <c r="I12" s="31" t="s">
        <v>170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31" t="s">
        <v>167</v>
      </c>
      <c r="C13" s="31" t="s">
        <v>175</v>
      </c>
      <c r="D13" s="31" t="s">
        <v>172</v>
      </c>
      <c r="E13" s="8"/>
      <c r="F13" s="17"/>
      <c r="G13" s="8"/>
      <c r="H13" s="8"/>
      <c r="I13" s="31" t="s">
        <v>170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31" t="s">
        <v>167</v>
      </c>
      <c r="C14" s="31" t="s">
        <v>175</v>
      </c>
      <c r="D14" s="31" t="s">
        <v>173</v>
      </c>
      <c r="E14" s="8"/>
      <c r="F14" s="17"/>
      <c r="G14" s="8"/>
      <c r="H14" s="8"/>
      <c r="I14" s="31" t="s">
        <v>170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31" t="s">
        <v>167</v>
      </c>
      <c r="C15" s="31" t="s">
        <v>176</v>
      </c>
      <c r="D15" s="31" t="s">
        <v>169</v>
      </c>
      <c r="E15" s="8"/>
      <c r="F15" s="17"/>
      <c r="G15" s="8"/>
      <c r="H15" s="8"/>
      <c r="I15" s="31" t="s">
        <v>170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31" t="s">
        <v>167</v>
      </c>
      <c r="C16" s="31" t="s">
        <v>176</v>
      </c>
      <c r="D16" s="31" t="s">
        <v>171</v>
      </c>
      <c r="E16" s="8"/>
      <c r="F16" s="17"/>
      <c r="G16" s="8"/>
      <c r="H16" s="8"/>
      <c r="I16" s="31" t="s">
        <v>170</v>
      </c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31" t="s">
        <v>167</v>
      </c>
      <c r="C17" s="31" t="s">
        <v>176</v>
      </c>
      <c r="D17" s="31" t="s">
        <v>172</v>
      </c>
      <c r="E17" s="8"/>
      <c r="F17" s="17"/>
      <c r="G17" s="8"/>
      <c r="H17" s="8"/>
      <c r="I17" s="31" t="s">
        <v>170</v>
      </c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31" t="s">
        <v>167</v>
      </c>
      <c r="C18" s="31" t="s">
        <v>176</v>
      </c>
      <c r="D18" s="31" t="s">
        <v>173</v>
      </c>
      <c r="E18" s="8"/>
      <c r="F18" s="17"/>
      <c r="G18" s="8"/>
      <c r="H18" s="8"/>
      <c r="I18" s="31" t="s">
        <v>170</v>
      </c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31" t="s">
        <v>167</v>
      </c>
      <c r="C19" s="31" t="s">
        <v>177</v>
      </c>
      <c r="D19" s="31" t="s">
        <v>169</v>
      </c>
      <c r="E19" s="8"/>
      <c r="F19" s="17"/>
      <c r="G19" s="8"/>
      <c r="H19" s="8"/>
      <c r="I19" s="31" t="s">
        <v>170</v>
      </c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31" t="s">
        <v>167</v>
      </c>
      <c r="C20" s="31" t="s">
        <v>177</v>
      </c>
      <c r="D20" s="31" t="s">
        <v>171</v>
      </c>
      <c r="E20" s="8"/>
      <c r="F20" s="17"/>
      <c r="G20" s="8"/>
      <c r="H20" s="8"/>
      <c r="I20" s="31" t="s">
        <v>170</v>
      </c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31" t="s">
        <v>167</v>
      </c>
      <c r="C21" s="31" t="s">
        <v>177</v>
      </c>
      <c r="D21" s="31" t="s">
        <v>172</v>
      </c>
      <c r="E21" s="8"/>
      <c r="F21" s="17"/>
      <c r="G21" s="8"/>
      <c r="H21" s="8"/>
      <c r="I21" s="31" t="s">
        <v>170</v>
      </c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31" t="s">
        <v>167</v>
      </c>
      <c r="C22" s="31" t="s">
        <v>177</v>
      </c>
      <c r="D22" s="31" t="s">
        <v>173</v>
      </c>
      <c r="E22" s="8"/>
      <c r="F22" s="17"/>
      <c r="G22" s="8"/>
      <c r="H22" s="8"/>
      <c r="I22" s="31" t="s">
        <v>170</v>
      </c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31" t="s">
        <v>215</v>
      </c>
      <c r="C23" s="31" t="s">
        <v>215</v>
      </c>
      <c r="D23" s="31" t="s">
        <v>216</v>
      </c>
      <c r="E23" s="8"/>
      <c r="F23" s="17"/>
      <c r="G23" s="8"/>
      <c r="H23" s="8"/>
      <c r="I23" s="31" t="s">
        <v>170</v>
      </c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31" t="s">
        <v>215</v>
      </c>
      <c r="C24" s="31" t="s">
        <v>215</v>
      </c>
      <c r="D24" s="31" t="s">
        <v>217</v>
      </c>
      <c r="E24" s="8"/>
      <c r="F24" s="17"/>
      <c r="G24" s="8"/>
      <c r="H24" s="8"/>
      <c r="I24" s="31" t="s">
        <v>170</v>
      </c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31" t="s">
        <v>235</v>
      </c>
      <c r="C25" s="31" t="s">
        <v>235</v>
      </c>
      <c r="D25" s="31" t="s">
        <v>236</v>
      </c>
      <c r="E25" s="8"/>
      <c r="F25" s="17"/>
      <c r="G25" s="8"/>
      <c r="H25" s="8"/>
      <c r="I25" s="31" t="s">
        <v>170</v>
      </c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31" t="s">
        <v>235</v>
      </c>
      <c r="C26" s="31" t="s">
        <v>235</v>
      </c>
      <c r="D26" s="31" t="s">
        <v>237</v>
      </c>
      <c r="E26" s="8"/>
      <c r="F26" s="17"/>
      <c r="G26" s="8"/>
      <c r="H26" s="8"/>
      <c r="I26" s="31" t="s">
        <v>170</v>
      </c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31" t="s">
        <v>235</v>
      </c>
      <c r="C27" s="31" t="s">
        <v>235</v>
      </c>
      <c r="D27" s="31" t="s">
        <v>173</v>
      </c>
      <c r="E27" s="8"/>
      <c r="F27" s="17"/>
      <c r="G27" s="8"/>
      <c r="H27" s="8"/>
      <c r="I27" s="31" t="s">
        <v>170</v>
      </c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31" t="s">
        <v>218</v>
      </c>
      <c r="C28" s="31" t="s">
        <v>218</v>
      </c>
      <c r="D28" s="31" t="s">
        <v>219</v>
      </c>
      <c r="E28" s="8"/>
      <c r="F28" s="17"/>
      <c r="G28" s="8"/>
      <c r="H28" s="8"/>
      <c r="I28" s="31" t="s">
        <v>170</v>
      </c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31" t="s">
        <v>218</v>
      </c>
      <c r="C29" s="31" t="s">
        <v>218</v>
      </c>
      <c r="D29" s="31" t="s">
        <v>220</v>
      </c>
      <c r="E29" s="8"/>
      <c r="F29" s="17"/>
      <c r="G29" s="8"/>
      <c r="H29" s="8"/>
      <c r="I29" s="31" t="s">
        <v>170</v>
      </c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31" t="s">
        <v>218</v>
      </c>
      <c r="C30" s="31" t="s">
        <v>218</v>
      </c>
      <c r="D30" s="31" t="s">
        <v>221</v>
      </c>
      <c r="E30" s="8"/>
      <c r="F30" s="17"/>
      <c r="G30" s="8"/>
      <c r="H30" s="8"/>
      <c r="I30" s="31" t="s">
        <v>170</v>
      </c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31" t="s">
        <v>218</v>
      </c>
      <c r="C31" s="31" t="s">
        <v>218</v>
      </c>
      <c r="D31" s="31" t="s">
        <v>222</v>
      </c>
      <c r="E31" s="8"/>
      <c r="F31" s="17"/>
      <c r="G31" s="8"/>
      <c r="H31" s="8"/>
      <c r="I31" s="31" t="s">
        <v>170</v>
      </c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31" t="s">
        <v>223</v>
      </c>
      <c r="C32" s="31" t="s">
        <v>223</v>
      </c>
      <c r="D32" s="31" t="s">
        <v>224</v>
      </c>
      <c r="E32" s="8"/>
      <c r="F32" s="17"/>
      <c r="G32" s="8"/>
      <c r="H32" s="8"/>
      <c r="I32" s="31" t="s">
        <v>170</v>
      </c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31" t="s">
        <v>223</v>
      </c>
      <c r="C33" s="31" t="s">
        <v>223</v>
      </c>
      <c r="D33" s="31" t="s">
        <v>225</v>
      </c>
      <c r="E33" s="8"/>
      <c r="F33" s="17"/>
      <c r="G33" s="8"/>
      <c r="H33" s="8"/>
      <c r="I33" s="31" t="s">
        <v>170</v>
      </c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31" t="s">
        <v>226</v>
      </c>
      <c r="C34" s="31" t="s">
        <v>226</v>
      </c>
      <c r="D34" s="8"/>
      <c r="E34" s="8"/>
      <c r="F34" s="17"/>
      <c r="G34" s="8"/>
      <c r="H34" s="8"/>
      <c r="I34" s="31" t="s">
        <v>170</v>
      </c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31" t="s">
        <v>227</v>
      </c>
      <c r="C35" s="31" t="s">
        <v>228</v>
      </c>
      <c r="D35" s="31" t="s">
        <v>173</v>
      </c>
      <c r="E35" s="8"/>
      <c r="F35" s="17"/>
      <c r="G35" s="8"/>
      <c r="H35" s="8"/>
      <c r="I35" s="31" t="s">
        <v>170</v>
      </c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31" t="s">
        <v>227</v>
      </c>
      <c r="C36" s="31" t="s">
        <v>229</v>
      </c>
      <c r="D36" s="31" t="s">
        <v>230</v>
      </c>
      <c r="E36" s="8"/>
      <c r="F36" s="17"/>
      <c r="G36" s="8"/>
      <c r="H36" s="8"/>
      <c r="I36" s="31" t="s">
        <v>170</v>
      </c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31" t="s">
        <v>227</v>
      </c>
      <c r="C37" s="31" t="s">
        <v>229</v>
      </c>
      <c r="D37" s="31" t="s">
        <v>231</v>
      </c>
      <c r="E37" s="8"/>
      <c r="F37" s="17"/>
      <c r="G37" s="8"/>
      <c r="H37" s="8"/>
      <c r="I37" s="31" t="s">
        <v>170</v>
      </c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31" t="s">
        <v>238</v>
      </c>
      <c r="C38" s="31" t="s">
        <v>238</v>
      </c>
      <c r="D38" s="8"/>
      <c r="E38" s="8"/>
      <c r="F38" s="17"/>
      <c r="G38" s="8"/>
      <c r="H38" s="8"/>
      <c r="I38" s="31" t="s">
        <v>170</v>
      </c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31" t="s">
        <v>239</v>
      </c>
      <c r="C39" s="31" t="s">
        <v>239</v>
      </c>
      <c r="D39" s="8"/>
      <c r="E39" s="8"/>
      <c r="F39" s="17"/>
      <c r="G39" s="8"/>
      <c r="H39" s="8"/>
      <c r="I39" s="31" t="s">
        <v>170</v>
      </c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true" errorStyle="stop" operator="between" showDropDown="false" showErrorMessage="false" showInputMessage="false" sqref="I3:I62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97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240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103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106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109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112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115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4"/>
    <col collapsed="false" customWidth="true" hidden="false" outlineLevel="0" max="13" min="10" style="0" width="3"/>
    <col collapsed="false" customWidth="true" hidden="false" outlineLevel="0" max="25" min="14" style="0" width="10"/>
    <col collapsed="false" customWidth="true" hidden="false" outlineLevel="0" max="26" min="26" style="0" width="30"/>
  </cols>
  <sheetData>
    <row r="1" customFormat="false" ht="15" hidden="false" customHeight="true" outlineLevel="0" collapsed="false">
      <c r="A1" s="29" t="s">
        <v>145</v>
      </c>
      <c r="B1" s="3" t="s">
        <v>118</v>
      </c>
      <c r="C1" s="3"/>
      <c r="D1" s="3"/>
      <c r="E1" s="3"/>
      <c r="F1" s="3"/>
      <c r="G1" s="3"/>
      <c r="H1" s="3"/>
      <c r="I1" s="3"/>
    </row>
    <row r="2" customFormat="false" ht="15" hidden="false" customHeight="false" outlineLevel="0" collapsed="false">
      <c r="A2" s="30" t="s">
        <v>197</v>
      </c>
      <c r="B2" s="30" t="s">
        <v>148</v>
      </c>
      <c r="C2" s="30" t="s">
        <v>149</v>
      </c>
      <c r="D2" s="30" t="s">
        <v>150</v>
      </c>
      <c r="E2" s="30" t="s">
        <v>151</v>
      </c>
      <c r="F2" s="30" t="s">
        <v>152</v>
      </c>
      <c r="G2" s="30" t="s">
        <v>198</v>
      </c>
      <c r="N2" s="25" t="n">
        <f aca="false">Company!N1</f>
        <v>45748</v>
      </c>
      <c r="O2" s="25" t="n">
        <f aca="false">Company!O1</f>
        <v>45778</v>
      </c>
      <c r="P2" s="25" t="n">
        <f aca="false">Company!P1</f>
        <v>45809</v>
      </c>
      <c r="Q2" s="25" t="n">
        <f aca="false">Company!Q1</f>
        <v>45839</v>
      </c>
      <c r="R2" s="25" t="n">
        <f aca="false">Company!R1</f>
        <v>45870</v>
      </c>
      <c r="S2" s="25" t="n">
        <f aca="false">Company!S1</f>
        <v>45901</v>
      </c>
      <c r="T2" s="25" t="n">
        <f aca="false">Company!T1</f>
        <v>45931</v>
      </c>
      <c r="U2" s="25" t="n">
        <f aca="false">Company!U1</f>
        <v>45962</v>
      </c>
      <c r="V2" s="25" t="n">
        <f aca="false">Company!V1</f>
        <v>45992</v>
      </c>
      <c r="W2" s="25" t="n">
        <f aca="false">Company!W1</f>
        <v>46023</v>
      </c>
      <c r="X2" s="25" t="n">
        <f aca="false">Company!X1</f>
        <v>46054</v>
      </c>
      <c r="Y2" s="25" t="n">
        <f aca="false">Company!Y1</f>
        <v>46082</v>
      </c>
      <c r="Z2" s="30" t="s">
        <v>156</v>
      </c>
    </row>
    <row r="3" customFormat="false" ht="15" hidden="false" customHeight="false" outlineLevel="0" collapsed="false">
      <c r="A3" s="8"/>
      <c r="B3" s="8"/>
      <c r="C3" s="8"/>
      <c r="D3" s="8"/>
      <c r="E3" s="8"/>
      <c r="F3" s="17"/>
      <c r="G3" s="8"/>
      <c r="H3" s="8"/>
      <c r="I3" s="8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customFormat="false" ht="15" hidden="false" customHeight="false" outlineLevel="0" collapsed="false">
      <c r="A4" s="8"/>
      <c r="B4" s="8"/>
      <c r="C4" s="8"/>
      <c r="D4" s="8"/>
      <c r="E4" s="8"/>
      <c r="F4" s="17"/>
      <c r="G4" s="8"/>
      <c r="H4" s="8"/>
      <c r="I4" s="8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customFormat="false" ht="15" hidden="false" customHeight="false" outlineLevel="0" collapsed="false">
      <c r="A5" s="8"/>
      <c r="B5" s="8"/>
      <c r="C5" s="8"/>
      <c r="D5" s="8"/>
      <c r="E5" s="8"/>
      <c r="F5" s="17"/>
      <c r="G5" s="8"/>
      <c r="H5" s="8"/>
      <c r="I5" s="8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</row>
    <row r="6" customFormat="false" ht="15" hidden="false" customHeight="false" outlineLevel="0" collapsed="false">
      <c r="A6" s="8"/>
      <c r="B6" s="8"/>
      <c r="C6" s="8"/>
      <c r="D6" s="8"/>
      <c r="E6" s="8"/>
      <c r="F6" s="17"/>
      <c r="G6" s="8"/>
      <c r="H6" s="8"/>
      <c r="I6" s="8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</row>
    <row r="7" customFormat="false" ht="15" hidden="false" customHeight="false" outlineLevel="0" collapsed="false">
      <c r="A7" s="8"/>
      <c r="B7" s="8"/>
      <c r="C7" s="8"/>
      <c r="D7" s="8"/>
      <c r="E7" s="8"/>
      <c r="F7" s="17"/>
      <c r="G7" s="8"/>
      <c r="H7" s="8"/>
      <c r="I7" s="8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</row>
    <row r="8" customFormat="false" ht="15" hidden="false" customHeight="false" outlineLevel="0" collapsed="false">
      <c r="A8" s="8"/>
      <c r="B8" s="8"/>
      <c r="C8" s="8"/>
      <c r="D8" s="8"/>
      <c r="E8" s="8"/>
      <c r="F8" s="17"/>
      <c r="G8" s="8"/>
      <c r="H8" s="8"/>
      <c r="I8" s="8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</row>
    <row r="9" customFormat="false" ht="15" hidden="false" customHeight="false" outlineLevel="0" collapsed="false">
      <c r="A9" s="8"/>
      <c r="B9" s="8"/>
      <c r="C9" s="8"/>
      <c r="D9" s="8"/>
      <c r="E9" s="8"/>
      <c r="F9" s="17"/>
      <c r="G9" s="8"/>
      <c r="H9" s="8"/>
      <c r="I9" s="8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15" hidden="false" customHeight="false" outlineLevel="0" collapsed="false">
      <c r="A10" s="8"/>
      <c r="B10" s="8"/>
      <c r="C10" s="8"/>
      <c r="D10" s="8"/>
      <c r="E10" s="8"/>
      <c r="F10" s="17"/>
      <c r="G10" s="8"/>
      <c r="H10" s="8"/>
      <c r="I10" s="8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15" hidden="false" customHeight="false" outlineLevel="0" collapsed="false">
      <c r="A11" s="8"/>
      <c r="B11" s="8"/>
      <c r="C11" s="8"/>
      <c r="D11" s="8"/>
      <c r="E11" s="8"/>
      <c r="F11" s="17"/>
      <c r="G11" s="8"/>
      <c r="H11" s="8"/>
      <c r="I11" s="8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  <row r="12" customFormat="false" ht="15" hidden="false" customHeight="false" outlineLevel="0" collapsed="false">
      <c r="A12" s="8"/>
      <c r="B12" s="8"/>
      <c r="C12" s="8"/>
      <c r="D12" s="8"/>
      <c r="E12" s="8"/>
      <c r="F12" s="17"/>
      <c r="G12" s="8"/>
      <c r="H12" s="8"/>
      <c r="I12" s="8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</row>
    <row r="13" customFormat="false" ht="15" hidden="false" customHeight="false" outlineLevel="0" collapsed="false">
      <c r="A13" s="8"/>
      <c r="B13" s="8"/>
      <c r="C13" s="8"/>
      <c r="D13" s="8"/>
      <c r="E13" s="8"/>
      <c r="F13" s="17"/>
      <c r="G13" s="8"/>
      <c r="H13" s="8"/>
      <c r="I13" s="8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</row>
    <row r="14" customFormat="false" ht="15" hidden="false" customHeight="false" outlineLevel="0" collapsed="false">
      <c r="A14" s="8"/>
      <c r="B14" s="8"/>
      <c r="C14" s="8"/>
      <c r="D14" s="8"/>
      <c r="E14" s="8"/>
      <c r="F14" s="17"/>
      <c r="G14" s="8"/>
      <c r="H14" s="8"/>
      <c r="I14" s="8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</row>
    <row r="15" customFormat="false" ht="15" hidden="false" customHeight="false" outlineLevel="0" collapsed="false">
      <c r="A15" s="8"/>
      <c r="B15" s="8"/>
      <c r="C15" s="8"/>
      <c r="D15" s="8"/>
      <c r="E15" s="8"/>
      <c r="F15" s="17"/>
      <c r="G15" s="8"/>
      <c r="H15" s="8"/>
      <c r="I15" s="8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</row>
    <row r="16" customFormat="false" ht="15" hidden="false" customHeight="false" outlineLevel="0" collapsed="false">
      <c r="A16" s="8"/>
      <c r="B16" s="8"/>
      <c r="C16" s="8"/>
      <c r="D16" s="8"/>
      <c r="E16" s="8"/>
      <c r="F16" s="17"/>
      <c r="G16" s="8"/>
      <c r="H16" s="8"/>
      <c r="I16" s="8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</row>
    <row r="17" customFormat="false" ht="15" hidden="false" customHeight="false" outlineLevel="0" collapsed="false">
      <c r="A17" s="8"/>
      <c r="B17" s="8"/>
      <c r="C17" s="8"/>
      <c r="D17" s="8"/>
      <c r="E17" s="8"/>
      <c r="F17" s="17"/>
      <c r="G17" s="8"/>
      <c r="H17" s="8"/>
      <c r="I17" s="8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</row>
    <row r="18" customFormat="false" ht="15" hidden="false" customHeight="false" outlineLevel="0" collapsed="false">
      <c r="A18" s="8"/>
      <c r="B18" s="8"/>
      <c r="C18" s="8"/>
      <c r="D18" s="8"/>
      <c r="E18" s="8"/>
      <c r="F18" s="17"/>
      <c r="G18" s="8"/>
      <c r="H18" s="8"/>
      <c r="I18" s="8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</row>
    <row r="19" customFormat="false" ht="15" hidden="false" customHeight="false" outlineLevel="0" collapsed="false">
      <c r="A19" s="8"/>
      <c r="B19" s="8"/>
      <c r="C19" s="8"/>
      <c r="D19" s="8"/>
      <c r="E19" s="8"/>
      <c r="F19" s="17"/>
      <c r="G19" s="8"/>
      <c r="H19" s="8"/>
      <c r="I19" s="8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</row>
    <row r="20" customFormat="false" ht="15" hidden="false" customHeight="false" outlineLevel="0" collapsed="false">
      <c r="A20" s="8"/>
      <c r="B20" s="8"/>
      <c r="C20" s="8"/>
      <c r="D20" s="8"/>
      <c r="E20" s="8"/>
      <c r="F20" s="17"/>
      <c r="G20" s="8"/>
      <c r="H20" s="8"/>
      <c r="I20" s="8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</row>
    <row r="21" customFormat="false" ht="15" hidden="false" customHeight="false" outlineLevel="0" collapsed="false">
      <c r="A21" s="8"/>
      <c r="B21" s="8"/>
      <c r="C21" s="8"/>
      <c r="D21" s="8"/>
      <c r="E21" s="8"/>
      <c r="F21" s="17"/>
      <c r="G21" s="8"/>
      <c r="H21" s="8"/>
      <c r="I21" s="8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</row>
    <row r="22" customFormat="false" ht="15" hidden="false" customHeight="false" outlineLevel="0" collapsed="false">
      <c r="A22" s="8"/>
      <c r="B22" s="8"/>
      <c r="C22" s="8"/>
      <c r="D22" s="8"/>
      <c r="E22" s="8"/>
      <c r="F22" s="17"/>
      <c r="G22" s="8"/>
      <c r="H22" s="8"/>
      <c r="I22" s="8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</row>
    <row r="23" customFormat="false" ht="15" hidden="false" customHeight="false" outlineLevel="0" collapsed="false">
      <c r="A23" s="8"/>
      <c r="B23" s="8"/>
      <c r="C23" s="8"/>
      <c r="D23" s="8"/>
      <c r="E23" s="8"/>
      <c r="F23" s="17"/>
      <c r="G23" s="8"/>
      <c r="H23" s="8"/>
      <c r="I23" s="8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</row>
    <row r="24" customFormat="false" ht="15" hidden="false" customHeight="false" outlineLevel="0" collapsed="false">
      <c r="A24" s="8"/>
      <c r="B24" s="8"/>
      <c r="C24" s="8"/>
      <c r="D24" s="8"/>
      <c r="E24" s="8"/>
      <c r="F24" s="17"/>
      <c r="G24" s="8"/>
      <c r="H24" s="8"/>
      <c r="I24" s="8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</row>
    <row r="25" customFormat="false" ht="15" hidden="false" customHeight="false" outlineLevel="0" collapsed="false">
      <c r="A25" s="8"/>
      <c r="B25" s="8"/>
      <c r="C25" s="8"/>
      <c r="D25" s="8"/>
      <c r="E25" s="8"/>
      <c r="F25" s="17"/>
      <c r="G25" s="8"/>
      <c r="H25" s="8"/>
      <c r="I25" s="8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</row>
    <row r="26" customFormat="false" ht="15" hidden="false" customHeight="false" outlineLevel="0" collapsed="false">
      <c r="A26" s="8"/>
      <c r="B26" s="8"/>
      <c r="C26" s="8"/>
      <c r="D26" s="8"/>
      <c r="E26" s="8"/>
      <c r="F26" s="17"/>
      <c r="G26" s="8"/>
      <c r="H26" s="8"/>
      <c r="I26" s="8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</row>
    <row r="27" customFormat="false" ht="15" hidden="false" customHeight="false" outlineLevel="0" collapsed="false">
      <c r="A27" s="8"/>
      <c r="B27" s="8"/>
      <c r="C27" s="8"/>
      <c r="D27" s="8"/>
      <c r="E27" s="8"/>
      <c r="F27" s="17"/>
      <c r="G27" s="8"/>
      <c r="H27" s="8"/>
      <c r="I27" s="8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</row>
    <row r="28" customFormat="false" ht="15" hidden="false" customHeight="false" outlineLevel="0" collapsed="false">
      <c r="A28" s="8"/>
      <c r="B28" s="8"/>
      <c r="C28" s="8"/>
      <c r="D28" s="8"/>
      <c r="E28" s="8"/>
      <c r="F28" s="17"/>
      <c r="G28" s="8"/>
      <c r="H28" s="8"/>
      <c r="I28" s="8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</row>
    <row r="29" customFormat="false" ht="15" hidden="false" customHeight="false" outlineLevel="0" collapsed="false">
      <c r="A29" s="8"/>
      <c r="B29" s="8"/>
      <c r="C29" s="8"/>
      <c r="D29" s="8"/>
      <c r="E29" s="8"/>
      <c r="F29" s="17"/>
      <c r="G29" s="8"/>
      <c r="H29" s="8"/>
      <c r="I29" s="8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</row>
    <row r="30" customFormat="false" ht="15" hidden="false" customHeight="false" outlineLevel="0" collapsed="false">
      <c r="A30" s="8"/>
      <c r="B30" s="8"/>
      <c r="C30" s="8"/>
      <c r="D30" s="8"/>
      <c r="E30" s="8"/>
      <c r="F30" s="17"/>
      <c r="G30" s="8"/>
      <c r="H30" s="8"/>
      <c r="I30" s="8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</row>
    <row r="31" customFormat="false" ht="15" hidden="false" customHeight="false" outlineLevel="0" collapsed="false">
      <c r="A31" s="8"/>
      <c r="B31" s="8"/>
      <c r="C31" s="8"/>
      <c r="D31" s="8"/>
      <c r="E31" s="8"/>
      <c r="F31" s="17"/>
      <c r="G31" s="8"/>
      <c r="H31" s="8"/>
      <c r="I31" s="8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</row>
    <row r="32" customFormat="false" ht="15" hidden="false" customHeight="false" outlineLevel="0" collapsed="false">
      <c r="A32" s="8"/>
      <c r="B32" s="8"/>
      <c r="C32" s="8"/>
      <c r="D32" s="8"/>
      <c r="E32" s="8"/>
      <c r="F32" s="17"/>
      <c r="G32" s="8"/>
      <c r="H32" s="8"/>
      <c r="I32" s="8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</row>
    <row r="33" customFormat="false" ht="15" hidden="false" customHeight="false" outlineLevel="0" collapsed="false">
      <c r="A33" s="8"/>
      <c r="B33" s="8"/>
      <c r="C33" s="8"/>
      <c r="D33" s="8"/>
      <c r="E33" s="8"/>
      <c r="F33" s="17"/>
      <c r="G33" s="8"/>
      <c r="H33" s="8"/>
      <c r="I33" s="8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</row>
    <row r="34" customFormat="false" ht="15" hidden="false" customHeight="false" outlineLevel="0" collapsed="false">
      <c r="A34" s="8"/>
      <c r="B34" s="8"/>
      <c r="C34" s="8"/>
      <c r="D34" s="8"/>
      <c r="E34" s="8"/>
      <c r="F34" s="17"/>
      <c r="G34" s="8"/>
      <c r="H34" s="8"/>
      <c r="I34" s="8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</row>
    <row r="35" customFormat="false" ht="15" hidden="false" customHeight="false" outlineLevel="0" collapsed="false">
      <c r="A35" s="8"/>
      <c r="B35" s="8"/>
      <c r="C35" s="8"/>
      <c r="D35" s="8"/>
      <c r="E35" s="8"/>
      <c r="F35" s="17"/>
      <c r="G35" s="8"/>
      <c r="H35" s="8"/>
      <c r="I35" s="8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</row>
    <row r="36" customFormat="false" ht="15" hidden="false" customHeight="false" outlineLevel="0" collapsed="false">
      <c r="A36" s="8"/>
      <c r="B36" s="8"/>
      <c r="C36" s="8"/>
      <c r="D36" s="8"/>
      <c r="E36" s="8"/>
      <c r="F36" s="17"/>
      <c r="G36" s="8"/>
      <c r="H36" s="8"/>
      <c r="I36" s="8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</row>
    <row r="37" customFormat="false" ht="15" hidden="false" customHeight="false" outlineLevel="0" collapsed="false">
      <c r="A37" s="8"/>
      <c r="B37" s="8"/>
      <c r="C37" s="8"/>
      <c r="D37" s="8"/>
      <c r="E37" s="8"/>
      <c r="F37" s="17"/>
      <c r="G37" s="8"/>
      <c r="H37" s="8"/>
      <c r="I37" s="8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</row>
    <row r="38" customFormat="false" ht="15" hidden="false" customHeight="false" outlineLevel="0" collapsed="false">
      <c r="A38" s="8"/>
      <c r="B38" s="8"/>
      <c r="C38" s="8"/>
      <c r="D38" s="8"/>
      <c r="E38" s="8"/>
      <c r="F38" s="17"/>
      <c r="G38" s="8"/>
      <c r="H38" s="8"/>
      <c r="I38" s="8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</row>
    <row r="39" customFormat="false" ht="15" hidden="false" customHeight="false" outlineLevel="0" collapsed="false">
      <c r="A39" s="8"/>
      <c r="B39" s="8"/>
      <c r="C39" s="8"/>
      <c r="D39" s="8"/>
      <c r="E39" s="8"/>
      <c r="F39" s="17"/>
      <c r="G39" s="8"/>
      <c r="H39" s="8"/>
      <c r="I39" s="8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</row>
    <row r="40" customFormat="false" ht="15" hidden="false" customHeight="false" outlineLevel="0" collapsed="false">
      <c r="A40" s="8"/>
      <c r="B40" s="8"/>
      <c r="C40" s="8"/>
      <c r="D40" s="8"/>
      <c r="E40" s="8"/>
      <c r="F40" s="17"/>
      <c r="G40" s="8"/>
      <c r="H40" s="8"/>
      <c r="I40" s="8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</row>
    <row r="41" customFormat="false" ht="15" hidden="false" customHeight="false" outlineLevel="0" collapsed="false">
      <c r="A41" s="8"/>
      <c r="B41" s="8"/>
      <c r="C41" s="8"/>
      <c r="D41" s="8"/>
      <c r="E41" s="8"/>
      <c r="F41" s="17"/>
      <c r="G41" s="8"/>
      <c r="H41" s="8"/>
      <c r="I41" s="8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</row>
    <row r="42" customFormat="false" ht="15" hidden="false" customHeight="false" outlineLevel="0" collapsed="false">
      <c r="A42" s="8"/>
      <c r="B42" s="8"/>
      <c r="C42" s="8"/>
      <c r="D42" s="8"/>
      <c r="E42" s="8"/>
      <c r="F42" s="17"/>
      <c r="G42" s="8"/>
      <c r="H42" s="8"/>
      <c r="I42" s="8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</row>
    <row r="43" customFormat="false" ht="15" hidden="false" customHeight="false" outlineLevel="0" collapsed="false">
      <c r="A43" s="8"/>
      <c r="B43" s="8"/>
      <c r="C43" s="8"/>
      <c r="D43" s="8"/>
      <c r="E43" s="8"/>
      <c r="F43" s="17"/>
      <c r="G43" s="8"/>
      <c r="H43" s="8"/>
      <c r="I43" s="8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</row>
    <row r="44" customFormat="false" ht="15" hidden="false" customHeight="false" outlineLevel="0" collapsed="false">
      <c r="A44" s="8"/>
      <c r="B44" s="8"/>
      <c r="C44" s="8"/>
      <c r="D44" s="8"/>
      <c r="E44" s="8"/>
      <c r="F44" s="17"/>
      <c r="G44" s="8"/>
      <c r="H44" s="8"/>
      <c r="I44" s="8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</row>
    <row r="45" customFormat="false" ht="15" hidden="false" customHeight="false" outlineLevel="0" collapsed="false">
      <c r="A45" s="8"/>
      <c r="B45" s="8"/>
      <c r="C45" s="8"/>
      <c r="D45" s="8"/>
      <c r="E45" s="8"/>
      <c r="F45" s="17"/>
      <c r="G45" s="8"/>
      <c r="H45" s="8"/>
      <c r="I45" s="8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</row>
    <row r="46" customFormat="false" ht="15" hidden="false" customHeight="false" outlineLevel="0" collapsed="false">
      <c r="A46" s="8"/>
      <c r="B46" s="8"/>
      <c r="C46" s="8"/>
      <c r="D46" s="8"/>
      <c r="E46" s="8"/>
      <c r="F46" s="17"/>
      <c r="G46" s="8"/>
      <c r="H46" s="8"/>
      <c r="I46" s="8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</row>
    <row r="47" customFormat="false" ht="15" hidden="false" customHeight="false" outlineLevel="0" collapsed="false">
      <c r="A47" s="8"/>
      <c r="B47" s="8"/>
      <c r="C47" s="8"/>
      <c r="D47" s="8"/>
      <c r="E47" s="8"/>
      <c r="F47" s="17"/>
      <c r="G47" s="8"/>
      <c r="H47" s="8"/>
      <c r="I47" s="8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</row>
    <row r="48" customFormat="false" ht="15" hidden="false" customHeight="false" outlineLevel="0" collapsed="false">
      <c r="A48" s="8"/>
      <c r="B48" s="8"/>
      <c r="C48" s="8"/>
      <c r="D48" s="8"/>
      <c r="E48" s="8"/>
      <c r="F48" s="17"/>
      <c r="G48" s="8"/>
      <c r="H48" s="8"/>
      <c r="I48" s="8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</row>
    <row r="49" customFormat="false" ht="15" hidden="false" customHeight="false" outlineLevel="0" collapsed="false">
      <c r="A49" s="8"/>
      <c r="B49" s="8"/>
      <c r="C49" s="8"/>
      <c r="D49" s="8"/>
      <c r="E49" s="8"/>
      <c r="F49" s="17"/>
      <c r="G49" s="8"/>
      <c r="H49" s="8"/>
      <c r="I49" s="8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</row>
    <row r="50" customFormat="false" ht="15" hidden="false" customHeight="false" outlineLevel="0" collapsed="false">
      <c r="A50" s="8"/>
      <c r="B50" s="8"/>
      <c r="C50" s="8"/>
      <c r="D50" s="8"/>
      <c r="E50" s="8"/>
      <c r="F50" s="17"/>
      <c r="G50" s="8"/>
      <c r="H50" s="8"/>
      <c r="I50" s="8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</row>
    <row r="51" customFormat="false" ht="15" hidden="false" customHeight="false" outlineLevel="0" collapsed="false">
      <c r="A51" s="8"/>
      <c r="B51" s="8"/>
      <c r="C51" s="8"/>
      <c r="D51" s="8"/>
      <c r="E51" s="8"/>
      <c r="F51" s="17"/>
      <c r="G51" s="8"/>
      <c r="H51" s="8"/>
      <c r="I51" s="8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</row>
    <row r="52" customFormat="false" ht="15" hidden="false" customHeight="false" outlineLevel="0" collapsed="false">
      <c r="A52" s="8"/>
      <c r="B52" s="8"/>
      <c r="C52" s="8"/>
      <c r="D52" s="8"/>
      <c r="E52" s="8"/>
      <c r="F52" s="17"/>
      <c r="G52" s="8"/>
      <c r="H52" s="8"/>
      <c r="I52" s="8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</row>
    <row r="53" customFormat="false" ht="15" hidden="false" customHeight="false" outlineLevel="0" collapsed="false">
      <c r="A53" s="8"/>
      <c r="B53" s="8"/>
      <c r="C53" s="8"/>
      <c r="D53" s="8"/>
      <c r="E53" s="8"/>
      <c r="F53" s="17"/>
      <c r="G53" s="8"/>
      <c r="H53" s="8"/>
      <c r="I53" s="8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</row>
    <row r="54" customFormat="false" ht="15" hidden="false" customHeight="false" outlineLevel="0" collapsed="false">
      <c r="A54" s="8"/>
      <c r="B54" s="8"/>
      <c r="C54" s="8"/>
      <c r="D54" s="8"/>
      <c r="E54" s="8"/>
      <c r="F54" s="17"/>
      <c r="G54" s="8"/>
      <c r="H54" s="8"/>
      <c r="I54" s="8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</row>
    <row r="55" customFormat="false" ht="15" hidden="false" customHeight="false" outlineLevel="0" collapsed="false">
      <c r="A55" s="8"/>
      <c r="B55" s="8"/>
      <c r="C55" s="8"/>
      <c r="D55" s="8"/>
      <c r="E55" s="8"/>
      <c r="F55" s="17"/>
      <c r="G55" s="8"/>
      <c r="H55" s="8"/>
      <c r="I55" s="8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</row>
    <row r="56" customFormat="false" ht="15" hidden="false" customHeight="false" outlineLevel="0" collapsed="false">
      <c r="A56" s="8"/>
      <c r="B56" s="8"/>
      <c r="C56" s="8"/>
      <c r="D56" s="8"/>
      <c r="E56" s="8"/>
      <c r="F56" s="17"/>
      <c r="G56" s="8"/>
      <c r="H56" s="8"/>
      <c r="I56" s="8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Format="false" ht="15" hidden="false" customHeight="false" outlineLevel="0" collapsed="false">
      <c r="A57" s="8"/>
      <c r="B57" s="8"/>
      <c r="C57" s="8"/>
      <c r="D57" s="8"/>
      <c r="E57" s="8"/>
      <c r="F57" s="17"/>
      <c r="G57" s="8"/>
      <c r="H57" s="8"/>
      <c r="I57" s="8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Format="false" ht="15" hidden="false" customHeight="false" outlineLevel="0" collapsed="false">
      <c r="A58" s="8"/>
      <c r="B58" s="8"/>
      <c r="C58" s="8"/>
      <c r="D58" s="8"/>
      <c r="E58" s="8"/>
      <c r="F58" s="17"/>
      <c r="G58" s="8"/>
      <c r="H58" s="8"/>
      <c r="I58" s="8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Format="false" ht="15" hidden="false" customHeight="false" outlineLevel="0" collapsed="false">
      <c r="A59" s="8"/>
      <c r="B59" s="8"/>
      <c r="C59" s="8"/>
      <c r="D59" s="8"/>
      <c r="E59" s="8"/>
      <c r="F59" s="17"/>
      <c r="G59" s="8"/>
      <c r="H59" s="8"/>
      <c r="I59" s="8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Format="false" ht="15" hidden="false" customHeight="false" outlineLevel="0" collapsed="false">
      <c r="A60" s="8"/>
      <c r="B60" s="8"/>
      <c r="C60" s="8"/>
      <c r="D60" s="8"/>
      <c r="E60" s="8"/>
      <c r="F60" s="17"/>
      <c r="G60" s="8"/>
      <c r="H60" s="8"/>
      <c r="I60" s="8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Format="false" ht="15" hidden="false" customHeight="false" outlineLevel="0" collapsed="false">
      <c r="A61" s="8"/>
      <c r="B61" s="8"/>
      <c r="C61" s="8"/>
      <c r="D61" s="8"/>
      <c r="E61" s="8"/>
      <c r="F61" s="17"/>
      <c r="G61" s="8"/>
      <c r="H61" s="8"/>
      <c r="I61" s="8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Format="false" ht="15" hidden="false" customHeight="false" outlineLevel="0" collapsed="false">
      <c r="A62" s="8"/>
      <c r="B62" s="8"/>
      <c r="C62" s="8"/>
      <c r="D62" s="8"/>
      <c r="E62" s="8"/>
      <c r="F62" s="17"/>
      <c r="G62" s="8"/>
      <c r="H62" s="8"/>
      <c r="I62" s="8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</sheetData>
  <mergeCells count="1">
    <mergeCell ref="B1:I1"/>
  </mergeCells>
  <dataValidations count="3">
    <dataValidation allowBlank="false" errorStyle="stop" operator="greaterThanOrEqual" showDropDown="false" showErrorMessage="false" showInputMessage="false" sqref="N3:Y62" type="decimal">
      <formula1>0</formula1>
      <formula2>0</formula2>
    </dataValidation>
    <dataValidation allowBlank="false" errorStyle="stop" operator="greaterThanOrEqual" showDropDown="false" showErrorMessage="false" showInputMessage="false" sqref="F3:F62" type="decimal">
      <formula1>0</formula1>
      <formula2>0</formula2>
    </dataValidation>
    <dataValidation allowBlank="false" errorStyle="stop" operator="greaterThanOrEqual" showDropDown="false" showErrorMessage="false" showInputMessage="false" sqref="G3:G62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2026-07-15T10:38:22Z</dcterms:created>
  <dc:creator>openpyxl</dc:creator>
  <dc:description/>
  <dc:language>en-US</dc:language>
  <cp:lastModifiedBy/>
  <dcterms:modified xsi:type="dcterms:W3CDTF">2026-07-15T10:38:24Z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