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mpany" sheetId="2" state="visible" r:id="rId4"/>
    <sheet name="Scope 1 (Gas &amp; Fuels)" sheetId="3" state="visible" r:id="rId5"/>
    <sheet name="Scope 2 (Electricity)" sheetId="4" state="visible" r:id="rId6"/>
    <sheet name="Scope 3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<sst xmlns="http://schemas.openxmlformats.org/spreadsheetml/2006/main" count="136" uniqueCount="93">
  <si>
    <t xml:space="preserve">CES Carbon — Mass Upload Template</t>
  </si>
  <si>
    <t xml:space="preserve">Scope 1, 2 &amp; 3 activity data · upload to the CES Carbon portal</t>
  </si>
  <si>
    <t xml:space="preserve">How to use this file</t>
  </si>
  <si>
    <t xml:space="preserve">1.  Fill in the Company sheet (reporting year, employees, sites, green electricity %).</t>
  </si>
  <si>
    <t xml:space="preserve">2.  Enter your monthly consumption on the Scope 1 and Scope 2 sheets (one row per meter/fuel).</t>
  </si>
  <si>
    <t xml:space="preserve">3.  Enter annual figures on the Scope 3 sheet — the portal supplies the emission factors.</t>
  </si>
  <si>
    <t xml:space="preserve">4.  Send the completed file to CES, or upload it in the Carbon admin portal.</t>
  </si>
  <si>
    <t xml:space="preserve">Notes</t>
  </si>
  <si>
    <t xml:space="preserve">•  Enter activity data only (kWh, litres, £, km, tonnes). CES applies the correct DEFRA/DESNZ</t>
  </si>
  <si>
    <t xml:space="preserve">    conversion factor for the reporting year — you do not need to enter factors.</t>
  </si>
  <si>
    <t xml:space="preserve">•  Use 0 for months with no data rather than leaving cells blank.</t>
  </si>
  <si>
    <t xml:space="preserve">•  Do not rename the sheets or move the header rows — the portal reads them automatically.</t>
  </si>
  <si>
    <t xml:space="preserve">•  Scope 3 Category 3 (fuel &amp; energy / WTT &amp; T&amp;D) is calculated for you from Scope 1 &amp; 2.</t>
  </si>
  <si>
    <t xml:space="preserve">The figures already in this file are a WORKED EXAMPLE (Country Court Care Homes, FY2024–25).</t>
  </si>
  <si>
    <t xml:space="preserve">Overwrite them with your own data.</t>
  </si>
  <si>
    <t xml:space="preserve">Company information</t>
  </si>
  <si>
    <t xml:space="preserve">Field</t>
  </si>
  <si>
    <t xml:space="preserve">Value</t>
  </si>
  <si>
    <t xml:space="preserve">Company name</t>
  </si>
  <si>
    <t xml:space="preserve">Country Court Care Homes</t>
  </si>
  <si>
    <t xml:space="preserve">Reporting year</t>
  </si>
  <si>
    <t xml:space="preserve">2024-25</t>
  </si>
  <si>
    <t xml:space="preserve">Reporting start month</t>
  </si>
  <si>
    <t xml:space="preserve">Apr</t>
  </si>
  <si>
    <t xml:space="preserve">Employees</t>
  </si>
  <si>
    <t xml:space="preserve">Number of sites</t>
  </si>
  <si>
    <t xml:space="preserve">Green electricity % (market-based)</t>
  </si>
  <si>
    <t xml:space="preserve">Scope 1 — Stationary combustion (gas &amp; fuels)</t>
  </si>
  <si>
    <t xml:space="preserve">Sub-category</t>
  </si>
  <si>
    <t xml:space="preserve">Unit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</si>
  <si>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</si>
  <si>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</si>
  <si>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</si>
  <si>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</si>
  <si>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</si>
  <si>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</si>
  <si>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</si>
  <si>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</si>
  <si>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</si>
  <si>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</si>
  <si>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</si>
  <si>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Annual total</t>
  </si>
  <si>
    <t xml:space="preserve">Natural gas</t>
  </si>
  <si>
    <t xml:space="preserve">kWh</t>
  </si>
  <si>
    <t xml:space="preserve">LPG</t>
  </si>
  <si>
    <t xml:space="preserve">litres</t>
  </si>
  <si>
    <t xml:space="preserve">Heating oil</t>
  </si>
  <si>
    <t xml:space="preserve">Diesel (generators)</t>
  </si>
  <si>
    <t xml:space="preserve">Scope 2 — Purchased electricity</t>
  </si>
  <si>
    <t xml:space="preserve">Grid electricity</t>
  </si>
  <si>
    <t xml:space="preserve">Green electricity (REGO)</t>
  </si>
  <si>
    <t xml:space="preserve">Scope 3 — Value chain (annual figures)</t>
  </si>
  <si>
    <t xml:space="preserve">Enter annual quantity and (if known) a custom factor. Leave factor blank to use the CES/DEFRA default.</t>
  </si>
  <si>
    <t xml:space="preserve">Category</t>
  </si>
  <si>
    <t xml:space="preserve">Line item</t>
  </si>
  <si>
    <t xml:space="preserve">Annual quantity</t>
  </si>
  <si>
    <t xml:space="preserve">Emission factor (kgCO2e/unit)</t>
  </si>
  <si>
    <t xml:space="preserve">Emissions (kgCO2e)</t>
  </si>
  <si>
    <t xml:space="preserve">Cat 1 Purchased goods &amp; services</t>
  </si>
  <si>
    <t xml:space="preserve">Food &amp; catering supplies</t>
  </si>
  <si>
    <t xml:space="preserve">£ spend</t>
  </si>
  <si>
    <t xml:space="preserve">Cleaning &amp; consumables</t>
  </si>
  <si>
    <t xml:space="preserve">Water supply</t>
  </si>
  <si>
    <t xml:space="preserve">m3</t>
  </si>
  <si>
    <t xml:space="preserve">Cat 2 Capital goods</t>
  </si>
  <si>
    <t xml:space="preserve">Refurbishment works</t>
  </si>
  <si>
    <t xml:space="preserve">Cat 3 Fuel &amp; energy (WTT + T&amp;D)</t>
  </si>
  <si>
    <t xml:space="preserve">Calculated by portal from Scope 1 &amp; 2</t>
  </si>
  <si>
    <t xml:space="preserve">—</t>
  </si>
  <si>
    <t xml:space="preserve">Cat 4 Upstream transport</t>
  </si>
  <si>
    <t xml:space="preserve">Supplier deliveries</t>
  </si>
  <si>
    <t xml:space="preserve">tonne.km</t>
  </si>
  <si>
    <t xml:space="preserve">Cat 5 Waste</t>
  </si>
  <si>
    <t xml:space="preserve">Mixed commercial (landfill)</t>
  </si>
  <si>
    <t xml:space="preserve">tonnes</t>
  </si>
  <si>
    <t xml:space="preserve">Mixed recycling</t>
  </si>
  <si>
    <t xml:space="preserve">Cat 6 Business travel</t>
  </si>
  <si>
    <t xml:space="preserve">Car — average (grey fleet)</t>
  </si>
  <si>
    <t xml:space="preserve">km</t>
  </si>
  <si>
    <t xml:space="preserve">Rail</t>
  </si>
  <si>
    <t xml:space="preserve">Cat 7 Employee commuting</t>
  </si>
  <si>
    <t xml:space="preserve">Car commuting</t>
  </si>
  <si>
    <t xml:space="preserve">Cat 8 Upstream leased assets</t>
  </si>
  <si>
    <t xml:space="preserve">(add rows as needed)</t>
  </si>
  <si>
    <t xml:space="preserve">Cat 9 Downstream transport</t>
  </si>
  <si>
    <t xml:space="preserve">(not material)</t>
  </si>
  <si>
    <t xml:space="preserve">Cat 10 Processing of sold products</t>
  </si>
  <si>
    <t xml:space="preserve">(not applicable)</t>
  </si>
  <si>
    <t xml:space="preserve">Cat 11 Use of sold products</t>
  </si>
  <si>
    <t xml:space="preserve">Cat 12 End-of-life treatment</t>
  </si>
  <si>
    <t xml:space="preserve">Cat 13 Downstream leased assets</t>
  </si>
  <si>
    <t xml:space="preserve">Cat 14 Franchises</t>
  </si>
  <si>
    <t xml:space="preserve">Cat 15 Investments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</si>
</sst>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3D7E"/>
      <name val="Arial"/>
      <family val="0"/>
      <charset val="1"/>
    </font>
    <font>
      <sz val="10"/>
      <color rgb="FF7A7E8C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D9E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3C43A"/>
        <bgColor rgb="FF969696"/>
      </patternFill>
    </fill>
    <fill>
      <patternFill patternType="solid">
        <fgColor rgb="FF2F3D7E"/>
        <bgColor rgb="FF333333"/>
      </patternFill>
    </fill>
    <fill>
      <patternFill patternType="solid">
        <fgColor rgb="FFF5F2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E8C"/>
      <rgbColor rgb="FF9999FF"/>
      <rgbColor rgb="FF993366"/>
      <rgbColor rgb="FFF5F2EC"/>
      <rgbColor rgb="FFCCFFFF"/>
      <rgbColor rgb="FF660066"/>
      <rgbColor rgb="FFFF8080"/>
      <rgbColor rgb="FF0066CC"/>
      <rgbColor rgb="FFD9D4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3C43A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2F3D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5"/>
  </cols>
  <sheetData>
    <row r="1" customFormat="false" ht="15" hidden="false" customHeight="false" outlineLevel="0" collapsed="false">
      <c r="B1" s="1"/>
    </row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5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5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</cols>
  <sheetData>
    <row r="1" customFormat="false" ht="19.7" hidden="false" customHeight="false" outlineLevel="0" collapsed="false">
      <c r="A1" s="2" t="s">
        <v>15</v>
      </c>
    </row>
    <row r="3" customFormat="false" ht="15" hidden="false" customHeight="false" outlineLevel="0" collapsed="false">
      <c r="A3" s="6" t="s">
        <v>16</v>
      </c>
      <c r="B3" s="6" t="s">
        <v>17</v>
      </c>
    </row>
    <row r="4" customFormat="false" ht="15" hidden="false" customHeight="false" outlineLevel="0" collapsed="false">
      <c r="A4" s="7" t="s">
        <v>18</v>
      </c>
      <c r="B4" s="8" t="s">
        <v>19</v>
      </c>
    </row>
    <row r="5" customFormat="false" ht="15" hidden="false" customHeight="false" outlineLevel="0" collapsed="false">
      <c r="A5" s="7" t="s">
        <v>20</v>
      </c>
      <c r="B5" s="8" t="s">
        <v>21</v>
      </c>
    </row>
    <row r="6" customFormat="false" ht="15" hidden="false" customHeight="false" outlineLevel="0" collapsed="false">
      <c r="A6" s="7" t="s">
        <v>22</v>
      </c>
      <c r="B6" s="8" t="s">
        <v>23</v>
      </c>
    </row>
    <row r="7" customFormat="false" ht="15" hidden="false" customHeight="false" outlineLevel="0" collapsed="false">
      <c r="A7" s="7" t="s">
        <v>24</v>
      </c>
      <c r="B7" s="8" t="n">
        <v>2407</v>
      </c>
    </row>
    <row r="8" customFormat="false" ht="15" hidden="false" customHeight="false" outlineLevel="0" collapsed="false">
      <c r="A8" s="7" t="s">
        <v>25</v>
      </c>
      <c r="B8" s="8" t="n">
        <v>24</v>
      </c>
    </row>
    <row r="9" customFormat="false" ht="15" hidden="false" customHeight="false" outlineLevel="0" collapsed="false">
      <c r="A9" s="7" t="s">
        <v>26</v>
      </c>
      <c r="B9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14" min="3" style="0" width="9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2" t="s">
        <v>27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23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</row>
    <row r="4" customFormat="false" ht="15" hidden="false" customHeight="false" outlineLevel="0" collapsed="false">
      <c r="A4" s="7" t="s">
        <v>42</v>
      </c>
      <c r="B4" s="4" t="s">
        <v>43</v>
      </c>
      <c r="C4" s="9" t="n">
        <v>1463242</v>
      </c>
      <c r="D4" s="9" t="n">
        <v>1726992</v>
      </c>
      <c r="E4" s="9" t="n">
        <v>1864940</v>
      </c>
      <c r="F4" s="9" t="n">
        <v>1174059</v>
      </c>
      <c r="G4" s="9" t="n">
        <v>1149262</v>
      </c>
      <c r="H4" s="9" t="n">
        <v>1256867</v>
      </c>
      <c r="I4" s="9" t="n">
        <v>2138300</v>
      </c>
      <c r="J4" s="9" t="n">
        <v>2200408</v>
      </c>
      <c r="K4" s="9" t="n">
        <v>2051316</v>
      </c>
      <c r="L4" s="9" t="n">
        <v>2115714</v>
      </c>
      <c r="M4" s="9" t="n">
        <v>2846167</v>
      </c>
      <c r="N4" s="9" t="n">
        <v>2641834</v>
      </c>
      <c r="O4" s="10" t="n">
        <f aca="false">SUM(C4:N4)</f>
        <v>22629101</v>
      </c>
    </row>
    <row r="5" customFormat="false" ht="15" hidden="false" customHeight="false" outlineLevel="0" collapsed="false">
      <c r="A5" s="7" t="s">
        <v>44</v>
      </c>
      <c r="B5" s="4" t="s">
        <v>45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10" t="n">
        <f aca="false">SUM(C5:N5)</f>
        <v>0</v>
      </c>
    </row>
    <row r="6" customFormat="false" ht="15" hidden="false" customHeight="false" outlineLevel="0" collapsed="false">
      <c r="A6" s="7" t="s">
        <v>46</v>
      </c>
      <c r="B6" s="4" t="s">
        <v>45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10" t="n">
        <f aca="false">SUM(C6:N6)</f>
        <v>0</v>
      </c>
    </row>
    <row r="7" customFormat="false" ht="15" hidden="false" customHeight="false" outlineLevel="0" collapsed="false">
      <c r="A7" s="7" t="s">
        <v>47</v>
      </c>
      <c r="B7" s="4" t="s">
        <v>45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10" t="n">
        <f aca="false">SUM(C7:N7)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14" min="3" style="0" width="9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2" t="s">
        <v>48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23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</row>
    <row r="4" customFormat="false" ht="15" hidden="false" customHeight="false" outlineLevel="0" collapsed="false">
      <c r="A4" s="7" t="s">
        <v>49</v>
      </c>
      <c r="B4" s="4" t="s">
        <v>43</v>
      </c>
      <c r="C4" s="9" t="n">
        <v>580776</v>
      </c>
      <c r="D4" s="9" t="n">
        <v>554270</v>
      </c>
      <c r="E4" s="9" t="n">
        <v>781777</v>
      </c>
      <c r="F4" s="9" t="n">
        <v>796543</v>
      </c>
      <c r="G4" s="9" t="n">
        <v>656285</v>
      </c>
      <c r="H4" s="9" t="n">
        <v>729316</v>
      </c>
      <c r="I4" s="9" t="n">
        <v>802662</v>
      </c>
      <c r="J4" s="9" t="n">
        <v>851738</v>
      </c>
      <c r="K4" s="9" t="n">
        <v>898278</v>
      </c>
      <c r="L4" s="9" t="n">
        <v>803389</v>
      </c>
      <c r="M4" s="9" t="n">
        <v>728416</v>
      </c>
      <c r="N4" s="9" t="n">
        <v>709206</v>
      </c>
      <c r="O4" s="10" t="n">
        <f aca="false">SUM(C4:N4)</f>
        <v>8892656</v>
      </c>
    </row>
    <row r="5" customFormat="false" ht="15" hidden="false" customHeight="false" outlineLevel="0" collapsed="false">
      <c r="A5" s="7" t="s">
        <v>50</v>
      </c>
      <c r="B5" s="4" t="s">
        <v>43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10" t="n">
        <f aca="false">SUM(C5:N5)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2" t="s">
        <v>51</v>
      </c>
    </row>
    <row r="2" customFormat="false" ht="15" hidden="false" customHeight="false" outlineLevel="0" collapsed="false">
      <c r="A2" s="3" t="s">
        <v>52</v>
      </c>
    </row>
    <row r="3" customFormat="false" ht="15" hidden="false" customHeight="false" outlineLevel="0" collapsed="false">
      <c r="A3" s="6" t="s">
        <v>53</v>
      </c>
      <c r="B3" s="6" t="s">
        <v>54</v>
      </c>
      <c r="C3" s="6" t="s">
        <v>29</v>
      </c>
      <c r="D3" s="6" t="s">
        <v>55</v>
      </c>
      <c r="E3" s="6" t="s">
        <v>56</v>
      </c>
      <c r="F3" s="6" t="s">
        <v>57</v>
      </c>
    </row>
    <row r="4" customFormat="false" ht="15" hidden="false" customHeight="false" outlineLevel="0" collapsed="false">
      <c r="A4" s="7" t="s">
        <v>58</v>
      </c>
      <c r="B4" s="4" t="s">
        <v>59</v>
      </c>
      <c r="C4" s="4" t="s">
        <v>60</v>
      </c>
      <c r="D4" s="9" t="n">
        <v>642000</v>
      </c>
      <c r="E4" s="11" t="n">
        <v>0.42</v>
      </c>
      <c r="F4" s="10" t="n">
        <f aca="false">IF(AND(ISNUMBER(D4),ISNUMBER(E4)),D4*E4,"")</f>
        <v>269640</v>
      </c>
    </row>
    <row r="5" customFormat="false" ht="15" hidden="false" customHeight="false" outlineLevel="0" collapsed="false">
      <c r="A5" s="7" t="s">
        <v>58</v>
      </c>
      <c r="B5" s="4" t="s">
        <v>61</v>
      </c>
      <c r="C5" s="4" t="s">
        <v>60</v>
      </c>
      <c r="D5" s="9" t="n">
        <v>118000</v>
      </c>
      <c r="E5" s="11" t="n">
        <v>0.38</v>
      </c>
      <c r="F5" s="10" t="n">
        <f aca="false">IF(AND(ISNUMBER(D5),ISNUMBER(E5)),D5*E5,"")</f>
        <v>44840</v>
      </c>
    </row>
    <row r="6" customFormat="false" ht="15" hidden="false" customHeight="false" outlineLevel="0" collapsed="false">
      <c r="A6" s="7" t="s">
        <v>58</v>
      </c>
      <c r="B6" s="4" t="s">
        <v>62</v>
      </c>
      <c r="C6" s="4" t="s">
        <v>63</v>
      </c>
      <c r="D6" s="9" t="n">
        <v>34800</v>
      </c>
      <c r="E6" s="11" t="n">
        <v>0.344</v>
      </c>
      <c r="F6" s="10" t="n">
        <f aca="false">IF(AND(ISNUMBER(D6),ISNUMBER(E6)),D6*E6,"")</f>
        <v>11971.2</v>
      </c>
    </row>
    <row r="7" customFormat="false" ht="15" hidden="false" customHeight="false" outlineLevel="0" collapsed="false">
      <c r="A7" s="7" t="s">
        <v>64</v>
      </c>
      <c r="B7" s="4" t="s">
        <v>65</v>
      </c>
      <c r="C7" s="4" t="s">
        <v>60</v>
      </c>
      <c r="D7" s="9" t="n">
        <v>210000</v>
      </c>
      <c r="E7" s="11" t="n">
        <v>0.35</v>
      </c>
      <c r="F7" s="10" t="n">
        <f aca="false">IF(AND(ISNUMBER(D7),ISNUMBER(E7)),D7*E7,"")</f>
        <v>73500</v>
      </c>
    </row>
    <row r="8" customFormat="false" ht="15" hidden="false" customHeight="false" outlineLevel="0" collapsed="false">
      <c r="A8" s="7" t="s">
        <v>66</v>
      </c>
      <c r="B8" s="4" t="s">
        <v>67</v>
      </c>
      <c r="C8" s="4" t="s">
        <v>68</v>
      </c>
      <c r="D8" s="9"/>
      <c r="E8" s="11"/>
      <c r="F8" s="10" t="str">
        <f aca="false">IF(AND(ISNUMBER(D8),ISNUMBER(E8)),D8*E8,"")</f>
        <v/>
      </c>
    </row>
    <row r="9" customFormat="false" ht="15" hidden="false" customHeight="false" outlineLevel="0" collapsed="false">
      <c r="A9" s="7" t="s">
        <v>69</v>
      </c>
      <c r="B9" s="4" t="s">
        <v>70</v>
      </c>
      <c r="C9" s="4" t="s">
        <v>71</v>
      </c>
      <c r="D9" s="9" t="n">
        <v>52000</v>
      </c>
      <c r="E9" s="11" t="n">
        <v>0.107</v>
      </c>
      <c r="F9" s="10" t="n">
        <f aca="false">IF(AND(ISNUMBER(D9),ISNUMBER(E9)),D9*E9,"")</f>
        <v>5564</v>
      </c>
    </row>
    <row r="10" customFormat="false" ht="15" hidden="false" customHeight="false" outlineLevel="0" collapsed="false">
      <c r="A10" s="7" t="s">
        <v>72</v>
      </c>
      <c r="B10" s="4" t="s">
        <v>73</v>
      </c>
      <c r="C10" s="4" t="s">
        <v>74</v>
      </c>
      <c r="D10" s="9" t="n">
        <v>290</v>
      </c>
      <c r="E10" s="11" t="n">
        <v>446.2</v>
      </c>
      <c r="F10" s="10" t="n">
        <f aca="false">IF(AND(ISNUMBER(D10),ISNUMBER(E10)),D10*E10,"")</f>
        <v>129398</v>
      </c>
    </row>
    <row r="11" customFormat="false" ht="15" hidden="false" customHeight="false" outlineLevel="0" collapsed="false">
      <c r="A11" s="7" t="s">
        <v>72</v>
      </c>
      <c r="B11" s="4" t="s">
        <v>75</v>
      </c>
      <c r="C11" s="4" t="s">
        <v>74</v>
      </c>
      <c r="D11" s="9" t="n">
        <v>165</v>
      </c>
      <c r="E11" s="11" t="n">
        <v>21.3</v>
      </c>
      <c r="F11" s="10" t="n">
        <f aca="false">IF(AND(ISNUMBER(D11),ISNUMBER(E11)),D11*E11,"")</f>
        <v>3514.5</v>
      </c>
    </row>
    <row r="12" customFormat="false" ht="15" hidden="false" customHeight="false" outlineLevel="0" collapsed="false">
      <c r="A12" s="7" t="s">
        <v>76</v>
      </c>
      <c r="B12" s="4" t="s">
        <v>77</v>
      </c>
      <c r="C12" s="4" t="s">
        <v>78</v>
      </c>
      <c r="D12" s="9" t="n">
        <v>184000</v>
      </c>
      <c r="E12" s="11" t="n">
        <v>0.1665</v>
      </c>
      <c r="F12" s="10" t="n">
        <f aca="false">IF(AND(ISNUMBER(D12),ISNUMBER(E12)),D12*E12,"")</f>
        <v>30636</v>
      </c>
    </row>
    <row r="13" customFormat="false" ht="15" hidden="false" customHeight="false" outlineLevel="0" collapsed="false">
      <c r="A13" s="7" t="s">
        <v>76</v>
      </c>
      <c r="B13" s="4" t="s">
        <v>79</v>
      </c>
      <c r="C13" s="4" t="s">
        <v>78</v>
      </c>
      <c r="D13" s="9" t="n">
        <v>41000</v>
      </c>
      <c r="E13" s="11" t="n">
        <v>0.03546</v>
      </c>
      <c r="F13" s="10" t="n">
        <f aca="false">IF(AND(ISNUMBER(D13),ISNUMBER(E13)),D13*E13,"")</f>
        <v>1453.86</v>
      </c>
    </row>
    <row r="14" customFormat="false" ht="15" hidden="false" customHeight="false" outlineLevel="0" collapsed="false">
      <c r="A14" s="7" t="s">
        <v>80</v>
      </c>
      <c r="B14" s="4" t="s">
        <v>81</v>
      </c>
      <c r="C14" s="4" t="s">
        <v>78</v>
      </c>
      <c r="D14" s="9" t="n">
        <v>1960000</v>
      </c>
      <c r="E14" s="11" t="n">
        <v>0.1665</v>
      </c>
      <c r="F14" s="10" t="n">
        <f aca="false">IF(AND(ISNUMBER(D14),ISNUMBER(E14)),D14*E14,"")</f>
        <v>326340</v>
      </c>
    </row>
    <row r="15" customFormat="false" ht="15" hidden="false" customHeight="false" outlineLevel="0" collapsed="false">
      <c r="A15" s="7" t="s">
        <v>82</v>
      </c>
      <c r="B15" s="4" t="s">
        <v>83</v>
      </c>
      <c r="C15" s="4" t="s">
        <v>68</v>
      </c>
      <c r="D15" s="9"/>
      <c r="E15" s="11"/>
      <c r="F15" s="10" t="str">
        <f aca="false">IF(AND(ISNUMBER(D15),ISNUMBER(E15)),D15*E15,"")</f>
        <v/>
      </c>
    </row>
    <row r="16" customFormat="false" ht="15" hidden="false" customHeight="false" outlineLevel="0" collapsed="false">
      <c r="A16" s="7" t="s">
        <v>84</v>
      </c>
      <c r="B16" s="4" t="s">
        <v>85</v>
      </c>
      <c r="C16" s="4" t="s">
        <v>68</v>
      </c>
      <c r="D16" s="9"/>
      <c r="E16" s="11"/>
      <c r="F16" s="10" t="str">
        <f aca="false">IF(AND(ISNUMBER(D16),ISNUMBER(E16)),D16*E16,"")</f>
        <v/>
      </c>
    </row>
    <row r="17" customFormat="false" ht="15" hidden="false" customHeight="false" outlineLevel="0" collapsed="false">
      <c r="A17" s="7" t="s">
        <v>86</v>
      </c>
      <c r="B17" s="4" t="s">
        <v>87</v>
      </c>
      <c r="C17" s="4" t="s">
        <v>68</v>
      </c>
      <c r="D17" s="9"/>
      <c r="E17" s="11"/>
      <c r="F17" s="10" t="str">
        <f aca="false">IF(AND(ISNUMBER(D17),ISNUMBER(E17)),D17*E17,"")</f>
        <v/>
      </c>
    </row>
    <row r="18" customFormat="false" ht="15" hidden="false" customHeight="false" outlineLevel="0" collapsed="false">
      <c r="A18" s="7" t="s">
        <v>88</v>
      </c>
      <c r="B18" s="4" t="s">
        <v>87</v>
      </c>
      <c r="C18" s="4" t="s">
        <v>68</v>
      </c>
      <c r="D18" s="9"/>
      <c r="E18" s="11"/>
      <c r="F18" s="10" t="str">
        <f aca="false">IF(AND(ISNUMBER(D18),ISNUMBER(E18)),D18*E18,"")</f>
        <v/>
      </c>
    </row>
    <row r="19" customFormat="false" ht="15" hidden="false" customHeight="false" outlineLevel="0" collapsed="false">
      <c r="A19" s="7" t="s">
        <v>89</v>
      </c>
      <c r="B19" s="4" t="s">
        <v>87</v>
      </c>
      <c r="C19" s="4" t="s">
        <v>68</v>
      </c>
      <c r="D19" s="9"/>
      <c r="E19" s="11"/>
      <c r="F19" s="10" t="str">
        <f aca="false">IF(AND(ISNUMBER(D19),ISNUMBER(E19)),D19*E19,"")</f>
        <v/>
      </c>
    </row>
    <row r="20" customFormat="false" ht="15" hidden="false" customHeight="false" outlineLevel="0" collapsed="false">
      <c r="A20" s="7" t="s">
        <v>90</v>
      </c>
      <c r="B20" s="4" t="s">
        <v>85</v>
      </c>
      <c r="C20" s="4" t="s">
        <v>68</v>
      </c>
      <c r="D20" s="9"/>
      <c r="E20" s="11"/>
      <c r="F20" s="10" t="str">
        <f aca="false">IF(AND(ISNUMBER(D20),ISNUMBER(E20)),D20*E20,"")</f>
        <v/>
      </c>
    </row>
    <row r="21" customFormat="false" ht="15" hidden="false" customHeight="false" outlineLevel="0" collapsed="false">
      <c r="A21" s="7" t="s">
        <v>91</v>
      </c>
      <c r="B21" s="4" t="s">
        <v>87</v>
      </c>
      <c r="C21" s="4" t="s">
        <v>68</v>
      </c>
      <c r="D21" s="9"/>
      <c r="E21" s="11"/>
      <c r="F21" s="10" t="str">
        <f aca="false">IF(AND(ISNUMBER(D21),ISNUMBER(E21)),D21*E21,"")</f>
        <v/>
      </c>
    </row>
    <row r="22" customFormat="false" ht="15" hidden="false" customHeight="false" outlineLevel="0" collapsed="false">
      <c r="A22" s="7" t="s">
        <v>92</v>
      </c>
      <c r="B22" s="4" t="s">
        <v>87</v>
      </c>
      <c r="C22" s="4" t="s">
        <v>68</v>
      </c>
      <c r="D22" s="9"/>
      <c r="E22" s="11"/>
      <c r="F22" s="10" t="str">
        <f aca="false">IF(AND(ISNUMBER(D22),ISNUMBER(E22)),D22*E22,"")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2026-07-01T11:26:01Z</dcterms:created>
  <dc:creator>openpyxl</dc:creator>
  <dc:description/>
  <dc:language>en-US</dc:language>
  <cp:lastModifiedBy/>
  <dcterms:modified xsi:type="dcterms:W3CDTF">2026-07-01T11:26:01Z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